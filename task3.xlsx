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7c32713acee9cfac/Desktop/SOURABH PROJECT/"/>
    </mc:Choice>
  </mc:AlternateContent>
  <xr:revisionPtr revIDLastSave="513" documentId="8_{A9B531A1-87B3-4B00-A499-4A9AF2BB51B4}" xr6:coauthVersionLast="47" xr6:coauthVersionMax="47" xr10:uidLastSave="{EBC36142-D4F7-4A63-AAC2-A5798F9ECCC7}"/>
  <bookViews>
    <workbookView minimized="1" xWindow="4605" yWindow="3705" windowWidth="15375" windowHeight="7785" tabRatio="665" firstSheet="1" activeTab="3" xr2:uid="{00000000-000D-0000-FFFF-FFFF00000000}"/>
  </bookViews>
  <sheets>
    <sheet name="Engagement Summary" sheetId="2" r:id="rId1"/>
    <sheet name="highest engagement platform" sheetId="5" r:id="rId2"/>
    <sheet name="compare growth" sheetId="6" r:id="rId3"/>
    <sheet name="Visualize Engagement vs. Ad Sp." sheetId="9" r:id="rId4"/>
  </sheets>
  <definedNames>
    <definedName name="_xlnm._FilterDatabase" localSheetId="3" hidden="1">'Visualize Engagement vs. Ad Sp.'!$A$1:$C$201</definedName>
  </definedNames>
  <calcPr calcId="191029"/>
  <pivotCaches>
    <pivotCache cacheId="1" r:id="rId5"/>
    <pivotCache cacheId="2"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bhSlxfWvTgv8XKEk2OsP6o8jWik31LnAbkDVGdJdyIg="/>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alcChain>
</file>

<file path=xl/sharedStrings.xml><?xml version="1.0" encoding="utf-8"?>
<sst xmlns="http://schemas.openxmlformats.org/spreadsheetml/2006/main" count="630" uniqueCount="71">
  <si>
    <t>Platform</t>
  </si>
  <si>
    <t>Twitter</t>
  </si>
  <si>
    <t>2024-12-23</t>
  </si>
  <si>
    <t>YouTube</t>
  </si>
  <si>
    <t>2025-05-12</t>
  </si>
  <si>
    <t>Instagram</t>
  </si>
  <si>
    <t>2024-08-12</t>
  </si>
  <si>
    <t>Facebook</t>
  </si>
  <si>
    <t>2024-06-24</t>
  </si>
  <si>
    <t>2024-11-18</t>
  </si>
  <si>
    <t>2024-08-26</t>
  </si>
  <si>
    <t>2025-05-05</t>
  </si>
  <si>
    <t>2024-08-19</t>
  </si>
  <si>
    <t>2024-09-09</t>
  </si>
  <si>
    <t>2024-12-16</t>
  </si>
  <si>
    <t>2025-01-06</t>
  </si>
  <si>
    <t>2025-02-17</t>
  </si>
  <si>
    <t>2024-11-25</t>
  </si>
  <si>
    <t>2025-02-24</t>
  </si>
  <si>
    <t>2024-06-10</t>
  </si>
  <si>
    <t>2024-06-17</t>
  </si>
  <si>
    <t>2024-10-21</t>
  </si>
  <si>
    <t>2024-09-02</t>
  </si>
  <si>
    <t>2025-03-03</t>
  </si>
  <si>
    <t>2024-10-28</t>
  </si>
  <si>
    <t>2024-12-09</t>
  </si>
  <si>
    <t>2025-01-27</t>
  </si>
  <si>
    <t>2024-06-03</t>
  </si>
  <si>
    <t>2025-03-24</t>
  </si>
  <si>
    <t>2025-02-10</t>
  </si>
  <si>
    <t>2024-07-29</t>
  </si>
  <si>
    <t>2024-11-04</t>
  </si>
  <si>
    <t>2024-07-15</t>
  </si>
  <si>
    <t>2025-04-28</t>
  </si>
  <si>
    <t>2025-04-07</t>
  </si>
  <si>
    <t>2024-07-01</t>
  </si>
  <si>
    <t>2024-08-05</t>
  </si>
  <si>
    <t>Week_Start_Date</t>
  </si>
  <si>
    <t>New_Followers</t>
  </si>
  <si>
    <t>Unfollows</t>
  </si>
  <si>
    <t>Total_Followers</t>
  </si>
  <si>
    <t>Engagement_Rate</t>
  </si>
  <si>
    <t>Ad_Spend</t>
  </si>
  <si>
    <t>2024-07-08</t>
  </si>
  <si>
    <t>2024-07-22</t>
  </si>
  <si>
    <t>2024-09-16</t>
  </si>
  <si>
    <t>2024-09-23</t>
  </si>
  <si>
    <t>2024-09-30</t>
  </si>
  <si>
    <t>2024-10-07</t>
  </si>
  <si>
    <t>2024-10-14</t>
  </si>
  <si>
    <t>2024-11-11</t>
  </si>
  <si>
    <t>2024-12-02</t>
  </si>
  <si>
    <t>2024-12-30</t>
  </si>
  <si>
    <t>2025-01-13</t>
  </si>
  <si>
    <t>2025-01-20</t>
  </si>
  <si>
    <t>2025-02-03</t>
  </si>
  <si>
    <t>2025-03-10</t>
  </si>
  <si>
    <t>2025-03-17</t>
  </si>
  <si>
    <t>2025-03-31</t>
  </si>
  <si>
    <t>2025-04-14</t>
  </si>
  <si>
    <t>2025-04-21</t>
  </si>
  <si>
    <t>Row Labels</t>
  </si>
  <si>
    <t>Grand Total</t>
  </si>
  <si>
    <t>Sum of AVERAGE</t>
  </si>
  <si>
    <t>Average Engagement</t>
  </si>
  <si>
    <t>Highest engagement platform</t>
  </si>
  <si>
    <t>growth rate of followers</t>
  </si>
  <si>
    <t>Sum of growth rate of followers</t>
  </si>
  <si>
    <t>compare growth rate of followers</t>
  </si>
  <si>
    <t xml:space="preserve">X-axis(horizontal)=ad spend                        Y axis(vertical line)=engagement rate         DOT= campaign or post on different plateform                                                                Dooted line= trendline                                             </t>
  </si>
  <si>
    <t>Advise : we suggest multi plateform strategy is good  but as show in scatter chart and data as trend line slightly upward which mean ad spend increses so engagement rate also incereses but it show slightly upward.                                                                                                             *Points are widely spreded this means engagement does not depend how much you spend other factors also depend like quality of content and the timing sharing a content                                                                                                    *sharing more money doesnot gurantee of higer engement optimization matters.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</si>
</sst>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scheme val="minor"/>
    </font>
    <font>
      <b/>
      <sz val="11"/>
      <color theme="1"/>
      <name val="Calibri"/>
    </font>
    <font>
      <sz val="11"/>
      <color theme="1"/>
      <name val="Calibri"/>
    </font>
    <font>
      <b/>
      <sz val="12"/>
      <color theme="0"/>
      <name val="Calibri"/>
      <family val="2"/>
      <scheme val="minor"/>
    </font>
    <font>
      <b/>
      <sz val="11"/>
      <color theme="1"/>
      <name val="Calibri"/>
      <family val="2"/>
    </font>
    <font>
      <b/>
      <sz val="14"/>
      <color theme="0"/>
      <name val="Calibri"/>
      <family val="2"/>
      <scheme val="minor"/>
    </font>
    <font>
      <sz val="12"/>
      <color theme="0"/>
      <name val="Calibri"/>
      <family val="2"/>
    </font>
  </fonts>
  <fills count="6">
    <fill>
      <patternFill patternType="none"/>
    </fill>
    <fill>
      <patternFill patternType="gray125"/>
    </fill>
    <fill>
      <patternFill patternType="solid">
        <fgColor theme="1"/>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7">
    <xf numFmtId="0" fontId="0" fillId="0" borderId="0" xfId="0"/>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0" fontId="1" fillId="3" borderId="2" xfId="0" applyFont="1" applyFill="1" applyBorder="1" applyAlignment="1">
      <alignment horizontal="center" vertical="top" wrapText="1"/>
    </xf>
    <xf numFmtId="0" fontId="4" fillId="3" borderId="2" xfId="0" applyFont="1" applyFill="1" applyBorder="1" applyAlignment="1">
      <alignment horizontal="center" vertical="top" wrapText="1"/>
    </xf>
    <xf numFmtId="0" fontId="0" fillId="4" borderId="0" xfId="0" applyFill="1"/>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vertical="top"/>
    </xf>
    <xf numFmtId="0" fontId="3" fillId="2" borderId="0" xfId="0" applyFont="1" applyFill="1" applyAlignment="1">
      <alignment horizontal="center" vertical="center"/>
    </xf>
    <xf numFmtId="0" fontId="5" fillId="2" borderId="0" xfId="0" applyFont="1" applyFill="1" applyAlignment="1">
      <alignment horizontal="center" vertical="center"/>
    </xf>
    <xf numFmtId="0" fontId="0" fillId="5" borderId="0" xfId="0" applyFill="1" applyAlignment="1">
      <alignment horizontal="left" vertical="top" wrapText="1"/>
    </xf>
    <xf numFmtId="0" fontId="0" fillId="0" borderId="0" xfId="0" applyAlignment="1">
      <alignment horizontal="left" vertical="top" wrapText="1"/>
    </xf>
    <xf numFmtId="0" fontId="0" fillId="5" borderId="0" xfId="0" applyFill="1" applyAlignment="1">
      <alignment horizontal="center" vertical="top" wrapText="1"/>
    </xf>
  </cellXfs>
  <cellStyles count="1">
    <cellStyle name="Normal" xfId="0" builtinId="0"/>
  </cellStyles>
  <dxfs count="4">
    <dxf>
      <fill>
        <patternFill>
          <bgColor theme="0"/>
        </patternFill>
      </fill>
    </dxf>
    <dxf>
      <fill>
        <patternFill patternType="solid">
          <bgColor rgb="FF92D050"/>
        </patternFill>
      </fill>
    </dxf>
    <dxf>
      <fill>
        <patternFill>
          <bgColor rgb="FF92D050"/>
        </patternFill>
      </fill>
    </dxf>
    <dxf>
      <fill>
        <patternFill>
          <bgColor rgb="FF92D050"/>
        </patternFill>
      </fill>
    </dxf>
  </dxfs>
  <tableStyles count="0" defaultTableStyle="TableStyleMedium2" defaultPivotStyle="PivotStyleLight16"/>
  <colors>
    <mruColors>
      <color rgb="FF73E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96711315770505"/>
          <c:y val="0.13839419148395851"/>
          <c:w val="0.77751574803149592"/>
          <c:h val="0.73514219752196419"/>
        </c:manualLayout>
      </c:layout>
      <c:scatterChart>
        <c:scatterStyle val="lineMarker"/>
        <c:varyColors val="0"/>
        <c:ser>
          <c:idx val="0"/>
          <c:order val="0"/>
          <c:tx>
            <c:strRef>
              <c:f>'Visualize Engagement vs. Ad Sp.'!$A$2</c:f>
              <c:strCache>
                <c:ptCount val="1"/>
                <c:pt idx="0">
                  <c:v>Instagram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'Visualize Engagement vs. Ad Sp.'!$C$2:$C$198</c:f>
              <c:numCache>
                <c:formatCode>General</c:formatCode>
                <c:ptCount val="50"/>
                <c:pt idx="0">
                  <c:v>5904</c:v>
                </c:pt>
                <c:pt idx="1">
                  <c:v>9920</c:v>
                </c:pt>
                <c:pt idx="2">
                  <c:v>11329</c:v>
                </c:pt>
                <c:pt idx="3">
                  <c:v>18050</c:v>
                </c:pt>
                <c:pt idx="4">
                  <c:v>9566</c:v>
                </c:pt>
                <c:pt idx="5">
                  <c:v>22728</c:v>
                </c:pt>
                <c:pt idx="6">
                  <c:v>10740</c:v>
                </c:pt>
                <c:pt idx="7">
                  <c:v>17328</c:v>
                </c:pt>
                <c:pt idx="8">
                  <c:v>15353</c:v>
                </c:pt>
                <c:pt idx="9">
                  <c:v>49303</c:v>
                </c:pt>
                <c:pt idx="10">
                  <c:v>47101</c:v>
                </c:pt>
                <c:pt idx="11">
                  <c:v>35501</c:v>
                </c:pt>
                <c:pt idx="12">
                  <c:v>24913</c:v>
                </c:pt>
                <c:pt idx="13">
                  <c:v>37829</c:v>
                </c:pt>
                <c:pt idx="14">
                  <c:v>26663</c:v>
                </c:pt>
                <c:pt idx="15">
                  <c:v>21939</c:v>
                </c:pt>
                <c:pt idx="16">
                  <c:v>1083</c:v>
                </c:pt>
                <c:pt idx="17">
                  <c:v>30575</c:v>
                </c:pt>
                <c:pt idx="18">
                  <c:v>41215</c:v>
                </c:pt>
                <c:pt idx="19">
                  <c:v>36397</c:v>
                </c:pt>
                <c:pt idx="20">
                  <c:v>32478</c:v>
                </c:pt>
                <c:pt idx="21">
                  <c:v>13116</c:v>
                </c:pt>
                <c:pt idx="22">
                  <c:v>36484</c:v>
                </c:pt>
                <c:pt idx="23">
                  <c:v>47812</c:v>
                </c:pt>
                <c:pt idx="24">
                  <c:v>29533</c:v>
                </c:pt>
                <c:pt idx="25">
                  <c:v>1810</c:v>
                </c:pt>
                <c:pt idx="26">
                  <c:v>36103</c:v>
                </c:pt>
                <c:pt idx="27">
                  <c:v>22724</c:v>
                </c:pt>
                <c:pt idx="28">
                  <c:v>20692</c:v>
                </c:pt>
                <c:pt idx="29">
                  <c:v>4683</c:v>
                </c:pt>
                <c:pt idx="30">
                  <c:v>4313</c:v>
                </c:pt>
                <c:pt idx="31">
                  <c:v>37132</c:v>
                </c:pt>
                <c:pt idx="32">
                  <c:v>14548</c:v>
                </c:pt>
                <c:pt idx="33">
                  <c:v>43122</c:v>
                </c:pt>
                <c:pt idx="34">
                  <c:v>25525</c:v>
                </c:pt>
                <c:pt idx="35">
                  <c:v>10825</c:v>
                </c:pt>
                <c:pt idx="36">
                  <c:v>3314</c:v>
                </c:pt>
                <c:pt idx="37">
                  <c:v>44097</c:v>
                </c:pt>
                <c:pt idx="38">
                  <c:v>49772</c:v>
                </c:pt>
                <c:pt idx="39">
                  <c:v>33799</c:v>
                </c:pt>
                <c:pt idx="40">
                  <c:v>6296</c:v>
                </c:pt>
                <c:pt idx="41">
                  <c:v>9480</c:v>
                </c:pt>
                <c:pt idx="42">
                  <c:v>49077</c:v>
                </c:pt>
                <c:pt idx="43">
                  <c:v>23140</c:v>
                </c:pt>
                <c:pt idx="44">
                  <c:v>2436</c:v>
                </c:pt>
                <c:pt idx="45">
                  <c:v>2293</c:v>
                </c:pt>
                <c:pt idx="46">
                  <c:v>18693</c:v>
                </c:pt>
                <c:pt idx="47">
                  <c:v>14216</c:v>
                </c:pt>
                <c:pt idx="48">
                  <c:v>33381</c:v>
                </c:pt>
                <c:pt idx="49">
                  <c:v>20042</c:v>
                </c:pt>
              </c:numCache>
            </c:numRef>
          </c:xVal>
          <c:yVal>
            <c:numRef>
              <c:f>'Visualize Engagement vs. Ad Sp.'!$B$2:$B$198</c:f>
              <c:numCache>
                <c:formatCode>General</c:formatCode>
                <c:ptCount val="50"/>
                <c:pt idx="0">
                  <c:v>8.06</c:v>
                </c:pt>
                <c:pt idx="1">
                  <c:v>9.0500000000000007</c:v>
                </c:pt>
                <c:pt idx="2">
                  <c:v>2.46</c:v>
                </c:pt>
                <c:pt idx="3">
                  <c:v>6.92</c:v>
                </c:pt>
                <c:pt idx="4">
                  <c:v>9.36</c:v>
                </c:pt>
                <c:pt idx="5">
                  <c:v>8.74</c:v>
                </c:pt>
                <c:pt idx="6">
                  <c:v>3.74</c:v>
                </c:pt>
                <c:pt idx="7">
                  <c:v>7.88</c:v>
                </c:pt>
                <c:pt idx="8">
                  <c:v>4.05</c:v>
                </c:pt>
                <c:pt idx="9">
                  <c:v>7.83</c:v>
                </c:pt>
                <c:pt idx="10">
                  <c:v>6.23</c:v>
                </c:pt>
                <c:pt idx="11">
                  <c:v>3.25</c:v>
                </c:pt>
                <c:pt idx="12">
                  <c:v>5.71</c:v>
                </c:pt>
                <c:pt idx="13">
                  <c:v>7.16</c:v>
                </c:pt>
                <c:pt idx="14">
                  <c:v>9.09</c:v>
                </c:pt>
                <c:pt idx="15">
                  <c:v>3.4</c:v>
                </c:pt>
                <c:pt idx="16">
                  <c:v>2.36</c:v>
                </c:pt>
                <c:pt idx="17">
                  <c:v>3.3</c:v>
                </c:pt>
                <c:pt idx="18">
                  <c:v>6.25</c:v>
                </c:pt>
                <c:pt idx="19">
                  <c:v>8.9</c:v>
                </c:pt>
                <c:pt idx="20">
                  <c:v>6.5</c:v>
                </c:pt>
                <c:pt idx="21">
                  <c:v>5.85</c:v>
                </c:pt>
                <c:pt idx="22">
                  <c:v>6.85</c:v>
                </c:pt>
                <c:pt idx="23">
                  <c:v>4.66</c:v>
                </c:pt>
                <c:pt idx="24">
                  <c:v>9.41</c:v>
                </c:pt>
                <c:pt idx="25">
                  <c:v>5.17</c:v>
                </c:pt>
                <c:pt idx="26">
                  <c:v>3.79</c:v>
                </c:pt>
                <c:pt idx="27">
                  <c:v>1.81</c:v>
                </c:pt>
                <c:pt idx="28">
                  <c:v>3.32</c:v>
                </c:pt>
                <c:pt idx="29">
                  <c:v>8.44</c:v>
                </c:pt>
                <c:pt idx="30">
                  <c:v>1.76</c:v>
                </c:pt>
                <c:pt idx="31">
                  <c:v>5.3</c:v>
                </c:pt>
                <c:pt idx="32">
                  <c:v>3.3</c:v>
                </c:pt>
                <c:pt idx="33">
                  <c:v>9.24</c:v>
                </c:pt>
                <c:pt idx="34">
                  <c:v>9.23</c:v>
                </c:pt>
                <c:pt idx="35">
                  <c:v>3.89</c:v>
                </c:pt>
                <c:pt idx="36">
                  <c:v>4.6100000000000003</c:v>
                </c:pt>
                <c:pt idx="37">
                  <c:v>2.86</c:v>
                </c:pt>
                <c:pt idx="38">
                  <c:v>4.34</c:v>
                </c:pt>
                <c:pt idx="39">
                  <c:v>8.6199999999999992</c:v>
                </c:pt>
                <c:pt idx="40">
                  <c:v>7.23</c:v>
                </c:pt>
                <c:pt idx="41">
                  <c:v>7.74</c:v>
                </c:pt>
                <c:pt idx="42">
                  <c:v>1.53</c:v>
                </c:pt>
                <c:pt idx="43">
                  <c:v>6.27</c:v>
                </c:pt>
                <c:pt idx="44">
                  <c:v>3.19</c:v>
                </c:pt>
                <c:pt idx="45">
                  <c:v>6.73</c:v>
                </c:pt>
                <c:pt idx="46">
                  <c:v>6.8</c:v>
                </c:pt>
                <c:pt idx="47">
                  <c:v>5.69</c:v>
                </c:pt>
                <c:pt idx="48">
                  <c:v>6.09</c:v>
                </c:pt>
                <c:pt idx="49">
                  <c:v>1.82</c:v>
                </c:pt>
              </c:numCache>
            </c:numRef>
          </c:yVal>
          <c:smooth val="0"/>
          <c:extLst>
            <c:ext xmlns:c16="http://schemas.microsoft.com/office/drawing/2014/chart" uri="{C3380CC4-5D6E-409C-BE32-E72D297353CC}">
              <c16:uniqueId val="{000000C9-9E35-4633-9BF9-A47FFC0955AB}"/>
            </c:ext>
          </c:extLst>
        </c:ser>
        <c:ser>
          <c:idx val="1"/>
          <c:order val="1"/>
          <c:tx>
            <c:strRef>
              <c:f>'Visualize Engagement vs. Ad Sp.'!$A$3</c:f>
              <c:strCache>
                <c:ptCount val="1"/>
                <c:pt idx="0">
                  <c:v>Facebook</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'Visualize Engagement vs. Ad Sp.'!$C$3:$C$199</c:f>
              <c:numCache>
                <c:formatCode>General</c:formatCode>
                <c:ptCount val="49"/>
                <c:pt idx="0">
                  <c:v>9920</c:v>
                </c:pt>
                <c:pt idx="1">
                  <c:v>11329</c:v>
                </c:pt>
                <c:pt idx="2">
                  <c:v>18050</c:v>
                </c:pt>
                <c:pt idx="3">
                  <c:v>9566</c:v>
                </c:pt>
                <c:pt idx="4">
                  <c:v>22728</c:v>
                </c:pt>
                <c:pt idx="5">
                  <c:v>10740</c:v>
                </c:pt>
                <c:pt idx="6">
                  <c:v>17328</c:v>
                </c:pt>
                <c:pt idx="7">
                  <c:v>15353</c:v>
                </c:pt>
                <c:pt idx="8">
                  <c:v>49303</c:v>
                </c:pt>
                <c:pt idx="9">
                  <c:v>47101</c:v>
                </c:pt>
                <c:pt idx="10">
                  <c:v>35501</c:v>
                </c:pt>
                <c:pt idx="11">
                  <c:v>24913</c:v>
                </c:pt>
                <c:pt idx="12">
                  <c:v>37829</c:v>
                </c:pt>
                <c:pt idx="13">
                  <c:v>26663</c:v>
                </c:pt>
                <c:pt idx="14">
                  <c:v>21939</c:v>
                </c:pt>
                <c:pt idx="15">
                  <c:v>1083</c:v>
                </c:pt>
                <c:pt idx="16">
                  <c:v>30575</c:v>
                </c:pt>
                <c:pt idx="17">
                  <c:v>41215</c:v>
                </c:pt>
                <c:pt idx="18">
                  <c:v>36397</c:v>
                </c:pt>
                <c:pt idx="19">
                  <c:v>32478</c:v>
                </c:pt>
                <c:pt idx="20">
                  <c:v>13116</c:v>
                </c:pt>
                <c:pt idx="21">
                  <c:v>36484</c:v>
                </c:pt>
                <c:pt idx="22">
                  <c:v>47812</c:v>
                </c:pt>
                <c:pt idx="23">
                  <c:v>29533</c:v>
                </c:pt>
                <c:pt idx="24">
                  <c:v>1810</c:v>
                </c:pt>
                <c:pt idx="25">
                  <c:v>36103</c:v>
                </c:pt>
                <c:pt idx="26">
                  <c:v>22724</c:v>
                </c:pt>
                <c:pt idx="27">
                  <c:v>20692</c:v>
                </c:pt>
                <c:pt idx="28">
                  <c:v>4683</c:v>
                </c:pt>
                <c:pt idx="29">
                  <c:v>4313</c:v>
                </c:pt>
                <c:pt idx="30">
                  <c:v>37132</c:v>
                </c:pt>
                <c:pt idx="31">
                  <c:v>14548</c:v>
                </c:pt>
                <c:pt idx="32">
                  <c:v>43122</c:v>
                </c:pt>
                <c:pt idx="33">
                  <c:v>25525</c:v>
                </c:pt>
                <c:pt idx="34">
                  <c:v>10825</c:v>
                </c:pt>
                <c:pt idx="35">
                  <c:v>3314</c:v>
                </c:pt>
                <c:pt idx="36">
                  <c:v>44097</c:v>
                </c:pt>
                <c:pt idx="37">
                  <c:v>49772</c:v>
                </c:pt>
                <c:pt idx="38">
                  <c:v>33799</c:v>
                </c:pt>
                <c:pt idx="39">
                  <c:v>6296</c:v>
                </c:pt>
                <c:pt idx="40">
                  <c:v>9480</c:v>
                </c:pt>
                <c:pt idx="41">
                  <c:v>49077</c:v>
                </c:pt>
                <c:pt idx="42">
                  <c:v>23140</c:v>
                </c:pt>
                <c:pt idx="43">
                  <c:v>2436</c:v>
                </c:pt>
                <c:pt idx="44">
                  <c:v>2293</c:v>
                </c:pt>
                <c:pt idx="45">
                  <c:v>18693</c:v>
                </c:pt>
                <c:pt idx="46">
                  <c:v>14216</c:v>
                </c:pt>
                <c:pt idx="47">
                  <c:v>33381</c:v>
                </c:pt>
                <c:pt idx="48">
                  <c:v>20042</c:v>
                </c:pt>
              </c:numCache>
            </c:numRef>
          </c:xVal>
          <c:yVal>
            <c:numRef>
              <c:f>'Visualize Engagement vs. Ad Sp.'!$B$3:$B$199</c:f>
              <c:numCache>
                <c:formatCode>General</c:formatCode>
                <c:ptCount val="49"/>
                <c:pt idx="0">
                  <c:v>9.0500000000000007</c:v>
                </c:pt>
                <c:pt idx="1">
                  <c:v>2.46</c:v>
                </c:pt>
                <c:pt idx="2">
                  <c:v>6.92</c:v>
                </c:pt>
                <c:pt idx="3">
                  <c:v>9.36</c:v>
                </c:pt>
                <c:pt idx="4">
                  <c:v>8.74</c:v>
                </c:pt>
                <c:pt idx="5">
                  <c:v>3.74</c:v>
                </c:pt>
                <c:pt idx="6">
                  <c:v>7.88</c:v>
                </c:pt>
                <c:pt idx="7">
                  <c:v>4.05</c:v>
                </c:pt>
                <c:pt idx="8">
                  <c:v>7.83</c:v>
                </c:pt>
                <c:pt idx="9">
                  <c:v>6.23</c:v>
                </c:pt>
                <c:pt idx="10">
                  <c:v>3.25</c:v>
                </c:pt>
                <c:pt idx="11">
                  <c:v>5.71</c:v>
                </c:pt>
                <c:pt idx="12">
                  <c:v>7.16</c:v>
                </c:pt>
                <c:pt idx="13">
                  <c:v>9.09</c:v>
                </c:pt>
                <c:pt idx="14">
                  <c:v>3.4</c:v>
                </c:pt>
                <c:pt idx="15">
                  <c:v>2.36</c:v>
                </c:pt>
                <c:pt idx="16">
                  <c:v>3.3</c:v>
                </c:pt>
                <c:pt idx="17">
                  <c:v>6.25</c:v>
                </c:pt>
                <c:pt idx="18">
                  <c:v>8.9</c:v>
                </c:pt>
                <c:pt idx="19">
                  <c:v>6.5</c:v>
                </c:pt>
                <c:pt idx="20">
                  <c:v>5.85</c:v>
                </c:pt>
                <c:pt idx="21">
                  <c:v>6.85</c:v>
                </c:pt>
                <c:pt idx="22">
                  <c:v>4.66</c:v>
                </c:pt>
                <c:pt idx="23">
                  <c:v>9.41</c:v>
                </c:pt>
                <c:pt idx="24">
                  <c:v>5.17</c:v>
                </c:pt>
                <c:pt idx="25">
                  <c:v>3.79</c:v>
                </c:pt>
                <c:pt idx="26">
                  <c:v>1.81</c:v>
                </c:pt>
                <c:pt idx="27">
                  <c:v>3.32</c:v>
                </c:pt>
                <c:pt idx="28">
                  <c:v>8.44</c:v>
                </c:pt>
                <c:pt idx="29">
                  <c:v>1.76</c:v>
                </c:pt>
                <c:pt idx="30">
                  <c:v>5.3</c:v>
                </c:pt>
                <c:pt idx="31">
                  <c:v>3.3</c:v>
                </c:pt>
                <c:pt idx="32">
                  <c:v>9.24</c:v>
                </c:pt>
                <c:pt idx="33">
                  <c:v>9.23</c:v>
                </c:pt>
                <c:pt idx="34">
                  <c:v>3.89</c:v>
                </c:pt>
                <c:pt idx="35">
                  <c:v>4.6100000000000003</c:v>
                </c:pt>
                <c:pt idx="36">
                  <c:v>2.86</c:v>
                </c:pt>
                <c:pt idx="37">
                  <c:v>4.34</c:v>
                </c:pt>
                <c:pt idx="38">
                  <c:v>8.6199999999999992</c:v>
                </c:pt>
                <c:pt idx="39">
                  <c:v>7.23</c:v>
                </c:pt>
                <c:pt idx="40">
                  <c:v>7.74</c:v>
                </c:pt>
                <c:pt idx="41">
                  <c:v>1.53</c:v>
                </c:pt>
                <c:pt idx="42">
                  <c:v>6.27</c:v>
                </c:pt>
                <c:pt idx="43">
                  <c:v>3.19</c:v>
                </c:pt>
                <c:pt idx="44">
                  <c:v>6.73</c:v>
                </c:pt>
                <c:pt idx="45">
                  <c:v>6.8</c:v>
                </c:pt>
                <c:pt idx="46">
                  <c:v>5.69</c:v>
                </c:pt>
                <c:pt idx="47">
                  <c:v>6.09</c:v>
                </c:pt>
                <c:pt idx="48">
                  <c:v>1.82</c:v>
                </c:pt>
              </c:numCache>
            </c:numRef>
          </c:yVal>
          <c:smooth val="0"/>
          <c:extLst>
            <c:ext xmlns:c16="http://schemas.microsoft.com/office/drawing/2014/chart" uri="{C3380CC4-5D6E-409C-BE32-E72D297353CC}">
              <c16:uniqueId val="{000000CB-9E35-4633-9BF9-A47FFC0955AB}"/>
            </c:ext>
          </c:extLst>
        </c:ser>
        <c:ser>
          <c:idx val="2"/>
          <c:order val="2"/>
          <c:tx>
            <c:strRef>
              <c:f>'Visualize Engagement vs. Ad Sp.'!$A$4</c:f>
              <c:strCache>
                <c:ptCount val="1"/>
                <c:pt idx="0">
                  <c:v>Twitter</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xVal>
            <c:numRef>
              <c:f>'Visualize Engagement vs. Ad Sp.'!$C$4:$C$200</c:f>
              <c:numCache>
                <c:formatCode>General</c:formatCode>
                <c:ptCount val="49"/>
                <c:pt idx="0">
                  <c:v>9920</c:v>
                </c:pt>
                <c:pt idx="1">
                  <c:v>11329</c:v>
                </c:pt>
                <c:pt idx="2">
                  <c:v>18050</c:v>
                </c:pt>
                <c:pt idx="3">
                  <c:v>9566</c:v>
                </c:pt>
                <c:pt idx="4">
                  <c:v>22728</c:v>
                </c:pt>
                <c:pt idx="5">
                  <c:v>10740</c:v>
                </c:pt>
                <c:pt idx="6">
                  <c:v>17328</c:v>
                </c:pt>
                <c:pt idx="7">
                  <c:v>15353</c:v>
                </c:pt>
                <c:pt idx="8">
                  <c:v>49303</c:v>
                </c:pt>
                <c:pt idx="9">
                  <c:v>47101</c:v>
                </c:pt>
                <c:pt idx="10">
                  <c:v>35501</c:v>
                </c:pt>
                <c:pt idx="11">
                  <c:v>24913</c:v>
                </c:pt>
                <c:pt idx="12">
                  <c:v>37829</c:v>
                </c:pt>
                <c:pt idx="13">
                  <c:v>26663</c:v>
                </c:pt>
                <c:pt idx="14">
                  <c:v>21939</c:v>
                </c:pt>
                <c:pt idx="15">
                  <c:v>1083</c:v>
                </c:pt>
                <c:pt idx="16">
                  <c:v>30575</c:v>
                </c:pt>
                <c:pt idx="17">
                  <c:v>41215</c:v>
                </c:pt>
                <c:pt idx="18">
                  <c:v>36397</c:v>
                </c:pt>
                <c:pt idx="19">
                  <c:v>32478</c:v>
                </c:pt>
                <c:pt idx="20">
                  <c:v>13116</c:v>
                </c:pt>
                <c:pt idx="21">
                  <c:v>36484</c:v>
                </c:pt>
                <c:pt idx="22">
                  <c:v>47812</c:v>
                </c:pt>
                <c:pt idx="23">
                  <c:v>29533</c:v>
                </c:pt>
                <c:pt idx="24">
                  <c:v>1810</c:v>
                </c:pt>
                <c:pt idx="25">
                  <c:v>36103</c:v>
                </c:pt>
                <c:pt idx="26">
                  <c:v>22724</c:v>
                </c:pt>
                <c:pt idx="27">
                  <c:v>20692</c:v>
                </c:pt>
                <c:pt idx="28">
                  <c:v>4683</c:v>
                </c:pt>
                <c:pt idx="29">
                  <c:v>4313</c:v>
                </c:pt>
                <c:pt idx="30">
                  <c:v>37132</c:v>
                </c:pt>
                <c:pt idx="31">
                  <c:v>14548</c:v>
                </c:pt>
                <c:pt idx="32">
                  <c:v>43122</c:v>
                </c:pt>
                <c:pt idx="33">
                  <c:v>25525</c:v>
                </c:pt>
                <c:pt idx="34">
                  <c:v>10825</c:v>
                </c:pt>
                <c:pt idx="35">
                  <c:v>3314</c:v>
                </c:pt>
                <c:pt idx="36">
                  <c:v>44097</c:v>
                </c:pt>
                <c:pt idx="37">
                  <c:v>49772</c:v>
                </c:pt>
                <c:pt idx="38">
                  <c:v>33799</c:v>
                </c:pt>
                <c:pt idx="39">
                  <c:v>6296</c:v>
                </c:pt>
                <c:pt idx="40">
                  <c:v>9480</c:v>
                </c:pt>
                <c:pt idx="41">
                  <c:v>49077</c:v>
                </c:pt>
                <c:pt idx="42">
                  <c:v>23140</c:v>
                </c:pt>
                <c:pt idx="43">
                  <c:v>2436</c:v>
                </c:pt>
                <c:pt idx="44">
                  <c:v>2293</c:v>
                </c:pt>
                <c:pt idx="45">
                  <c:v>18693</c:v>
                </c:pt>
                <c:pt idx="46">
                  <c:v>14216</c:v>
                </c:pt>
                <c:pt idx="47">
                  <c:v>33381</c:v>
                </c:pt>
                <c:pt idx="48">
                  <c:v>20042</c:v>
                </c:pt>
              </c:numCache>
            </c:numRef>
          </c:xVal>
          <c:yVal>
            <c:numRef>
              <c:f>'Visualize Engagement vs. Ad Sp.'!$B$4:$B$200</c:f>
              <c:numCache>
                <c:formatCode>General</c:formatCode>
                <c:ptCount val="49"/>
                <c:pt idx="0">
                  <c:v>9.0500000000000007</c:v>
                </c:pt>
                <c:pt idx="1">
                  <c:v>2.46</c:v>
                </c:pt>
                <c:pt idx="2">
                  <c:v>6.92</c:v>
                </c:pt>
                <c:pt idx="3">
                  <c:v>9.36</c:v>
                </c:pt>
                <c:pt idx="4">
                  <c:v>8.74</c:v>
                </c:pt>
                <c:pt idx="5">
                  <c:v>3.74</c:v>
                </c:pt>
                <c:pt idx="6">
                  <c:v>7.88</c:v>
                </c:pt>
                <c:pt idx="7">
                  <c:v>4.05</c:v>
                </c:pt>
                <c:pt idx="8">
                  <c:v>7.83</c:v>
                </c:pt>
                <c:pt idx="9">
                  <c:v>6.23</c:v>
                </c:pt>
                <c:pt idx="10">
                  <c:v>3.25</c:v>
                </c:pt>
                <c:pt idx="11">
                  <c:v>5.71</c:v>
                </c:pt>
                <c:pt idx="12">
                  <c:v>7.16</c:v>
                </c:pt>
                <c:pt idx="13">
                  <c:v>9.09</c:v>
                </c:pt>
                <c:pt idx="14">
                  <c:v>3.4</c:v>
                </c:pt>
                <c:pt idx="15">
                  <c:v>2.36</c:v>
                </c:pt>
                <c:pt idx="16">
                  <c:v>3.3</c:v>
                </c:pt>
                <c:pt idx="17">
                  <c:v>6.25</c:v>
                </c:pt>
                <c:pt idx="18">
                  <c:v>8.9</c:v>
                </c:pt>
                <c:pt idx="19">
                  <c:v>6.5</c:v>
                </c:pt>
                <c:pt idx="20">
                  <c:v>5.85</c:v>
                </c:pt>
                <c:pt idx="21">
                  <c:v>6.85</c:v>
                </c:pt>
                <c:pt idx="22">
                  <c:v>4.66</c:v>
                </c:pt>
                <c:pt idx="23">
                  <c:v>9.41</c:v>
                </c:pt>
                <c:pt idx="24">
                  <c:v>5.17</c:v>
                </c:pt>
                <c:pt idx="25">
                  <c:v>3.79</c:v>
                </c:pt>
                <c:pt idx="26">
                  <c:v>1.81</c:v>
                </c:pt>
                <c:pt idx="27">
                  <c:v>3.32</c:v>
                </c:pt>
                <c:pt idx="28">
                  <c:v>8.44</c:v>
                </c:pt>
                <c:pt idx="29">
                  <c:v>1.76</c:v>
                </c:pt>
                <c:pt idx="30">
                  <c:v>5.3</c:v>
                </c:pt>
                <c:pt idx="31">
                  <c:v>3.3</c:v>
                </c:pt>
                <c:pt idx="32">
                  <c:v>9.24</c:v>
                </c:pt>
                <c:pt idx="33">
                  <c:v>9.23</c:v>
                </c:pt>
                <c:pt idx="34">
                  <c:v>3.89</c:v>
                </c:pt>
                <c:pt idx="35">
                  <c:v>4.6100000000000003</c:v>
                </c:pt>
                <c:pt idx="36">
                  <c:v>2.86</c:v>
                </c:pt>
                <c:pt idx="37">
                  <c:v>4.34</c:v>
                </c:pt>
                <c:pt idx="38">
                  <c:v>8.6199999999999992</c:v>
                </c:pt>
                <c:pt idx="39">
                  <c:v>7.23</c:v>
                </c:pt>
                <c:pt idx="40">
                  <c:v>7.74</c:v>
                </c:pt>
                <c:pt idx="41">
                  <c:v>1.53</c:v>
                </c:pt>
                <c:pt idx="42">
                  <c:v>6.27</c:v>
                </c:pt>
                <c:pt idx="43">
                  <c:v>3.19</c:v>
                </c:pt>
                <c:pt idx="44">
                  <c:v>6.73</c:v>
                </c:pt>
                <c:pt idx="45">
                  <c:v>6.8</c:v>
                </c:pt>
                <c:pt idx="46">
                  <c:v>5.69</c:v>
                </c:pt>
                <c:pt idx="47">
                  <c:v>6.09</c:v>
                </c:pt>
                <c:pt idx="48">
                  <c:v>1.82</c:v>
                </c:pt>
              </c:numCache>
            </c:numRef>
          </c:yVal>
          <c:smooth val="0"/>
          <c:extLst>
            <c:ext xmlns:c16="http://schemas.microsoft.com/office/drawing/2014/chart" uri="{C3380CC4-5D6E-409C-BE32-E72D297353CC}">
              <c16:uniqueId val="{000000CF-9E35-4633-9BF9-A47FFC0955AB}"/>
            </c:ext>
          </c:extLst>
        </c:ser>
        <c:ser>
          <c:idx val="3"/>
          <c:order val="3"/>
          <c:tx>
            <c:strRef>
              <c:f>'Visualize Engagement vs. Ad Sp.'!$A$5</c:f>
              <c:strCache>
                <c:ptCount val="1"/>
                <c:pt idx="0">
                  <c:v>YouTube</c:v>
                </c:pt>
              </c:strCache>
            </c:strRef>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0"/>
            <c:dispEq val="0"/>
          </c:trendline>
          <c:xVal>
            <c:numRef>
              <c:f>'Visualize Engagement vs. Ad Sp.'!$C$5:$C$201</c:f>
              <c:numCache>
                <c:formatCode>General</c:formatCode>
                <c:ptCount val="49"/>
                <c:pt idx="0">
                  <c:v>9920</c:v>
                </c:pt>
                <c:pt idx="1">
                  <c:v>11329</c:v>
                </c:pt>
                <c:pt idx="2">
                  <c:v>18050</c:v>
                </c:pt>
                <c:pt idx="3">
                  <c:v>9566</c:v>
                </c:pt>
                <c:pt idx="4">
                  <c:v>22728</c:v>
                </c:pt>
                <c:pt idx="5">
                  <c:v>10740</c:v>
                </c:pt>
                <c:pt idx="6">
                  <c:v>17328</c:v>
                </c:pt>
                <c:pt idx="7">
                  <c:v>15353</c:v>
                </c:pt>
                <c:pt idx="8">
                  <c:v>49303</c:v>
                </c:pt>
                <c:pt idx="9">
                  <c:v>47101</c:v>
                </c:pt>
                <c:pt idx="10">
                  <c:v>35501</c:v>
                </c:pt>
                <c:pt idx="11">
                  <c:v>24913</c:v>
                </c:pt>
                <c:pt idx="12">
                  <c:v>37829</c:v>
                </c:pt>
                <c:pt idx="13">
                  <c:v>26663</c:v>
                </c:pt>
                <c:pt idx="14">
                  <c:v>21939</c:v>
                </c:pt>
                <c:pt idx="15">
                  <c:v>1083</c:v>
                </c:pt>
                <c:pt idx="16">
                  <c:v>30575</c:v>
                </c:pt>
                <c:pt idx="17">
                  <c:v>41215</c:v>
                </c:pt>
                <c:pt idx="18">
                  <c:v>36397</c:v>
                </c:pt>
                <c:pt idx="19">
                  <c:v>32478</c:v>
                </c:pt>
                <c:pt idx="20">
                  <c:v>13116</c:v>
                </c:pt>
                <c:pt idx="21">
                  <c:v>36484</c:v>
                </c:pt>
                <c:pt idx="22">
                  <c:v>47812</c:v>
                </c:pt>
                <c:pt idx="23">
                  <c:v>29533</c:v>
                </c:pt>
                <c:pt idx="24">
                  <c:v>1810</c:v>
                </c:pt>
                <c:pt idx="25">
                  <c:v>36103</c:v>
                </c:pt>
                <c:pt idx="26">
                  <c:v>22724</c:v>
                </c:pt>
                <c:pt idx="27">
                  <c:v>20692</c:v>
                </c:pt>
                <c:pt idx="28">
                  <c:v>4683</c:v>
                </c:pt>
                <c:pt idx="29">
                  <c:v>4313</c:v>
                </c:pt>
                <c:pt idx="30">
                  <c:v>37132</c:v>
                </c:pt>
                <c:pt idx="31">
                  <c:v>14548</c:v>
                </c:pt>
                <c:pt idx="32">
                  <c:v>43122</c:v>
                </c:pt>
                <c:pt idx="33">
                  <c:v>25525</c:v>
                </c:pt>
                <c:pt idx="34">
                  <c:v>10825</c:v>
                </c:pt>
                <c:pt idx="35">
                  <c:v>3314</c:v>
                </c:pt>
                <c:pt idx="36">
                  <c:v>44097</c:v>
                </c:pt>
                <c:pt idx="37">
                  <c:v>49772</c:v>
                </c:pt>
                <c:pt idx="38">
                  <c:v>33799</c:v>
                </c:pt>
                <c:pt idx="39">
                  <c:v>6296</c:v>
                </c:pt>
                <c:pt idx="40">
                  <c:v>9480</c:v>
                </c:pt>
                <c:pt idx="41">
                  <c:v>49077</c:v>
                </c:pt>
                <c:pt idx="42">
                  <c:v>23140</c:v>
                </c:pt>
                <c:pt idx="43">
                  <c:v>2436</c:v>
                </c:pt>
                <c:pt idx="44">
                  <c:v>2293</c:v>
                </c:pt>
                <c:pt idx="45">
                  <c:v>18693</c:v>
                </c:pt>
                <c:pt idx="46">
                  <c:v>14216</c:v>
                </c:pt>
                <c:pt idx="47">
                  <c:v>33381</c:v>
                </c:pt>
                <c:pt idx="48">
                  <c:v>20042</c:v>
                </c:pt>
              </c:numCache>
            </c:numRef>
          </c:xVal>
          <c:yVal>
            <c:numRef>
              <c:f>'Visualize Engagement vs. Ad Sp.'!$B$5:$B$201</c:f>
              <c:numCache>
                <c:formatCode>General</c:formatCode>
                <c:ptCount val="49"/>
                <c:pt idx="0">
                  <c:v>9.0500000000000007</c:v>
                </c:pt>
                <c:pt idx="1">
                  <c:v>2.46</c:v>
                </c:pt>
                <c:pt idx="2">
                  <c:v>6.92</c:v>
                </c:pt>
                <c:pt idx="3">
                  <c:v>9.36</c:v>
                </c:pt>
                <c:pt idx="4">
                  <c:v>8.74</c:v>
                </c:pt>
                <c:pt idx="5">
                  <c:v>3.74</c:v>
                </c:pt>
                <c:pt idx="6">
                  <c:v>7.88</c:v>
                </c:pt>
                <c:pt idx="7">
                  <c:v>4.05</c:v>
                </c:pt>
                <c:pt idx="8">
                  <c:v>7.83</c:v>
                </c:pt>
                <c:pt idx="9">
                  <c:v>6.23</c:v>
                </c:pt>
                <c:pt idx="10">
                  <c:v>3.25</c:v>
                </c:pt>
                <c:pt idx="11">
                  <c:v>5.71</c:v>
                </c:pt>
                <c:pt idx="12">
                  <c:v>7.16</c:v>
                </c:pt>
                <c:pt idx="13">
                  <c:v>9.09</c:v>
                </c:pt>
                <c:pt idx="14">
                  <c:v>3.4</c:v>
                </c:pt>
                <c:pt idx="15">
                  <c:v>2.36</c:v>
                </c:pt>
                <c:pt idx="16">
                  <c:v>3.3</c:v>
                </c:pt>
                <c:pt idx="17">
                  <c:v>6.25</c:v>
                </c:pt>
                <c:pt idx="18">
                  <c:v>8.9</c:v>
                </c:pt>
                <c:pt idx="19">
                  <c:v>6.5</c:v>
                </c:pt>
                <c:pt idx="20">
                  <c:v>5.85</c:v>
                </c:pt>
                <c:pt idx="21">
                  <c:v>6.85</c:v>
                </c:pt>
                <c:pt idx="22">
                  <c:v>4.66</c:v>
                </c:pt>
                <c:pt idx="23">
                  <c:v>9.41</c:v>
                </c:pt>
                <c:pt idx="24">
                  <c:v>5.17</c:v>
                </c:pt>
                <c:pt idx="25">
                  <c:v>3.79</c:v>
                </c:pt>
                <c:pt idx="26">
                  <c:v>1.81</c:v>
                </c:pt>
                <c:pt idx="27">
                  <c:v>3.32</c:v>
                </c:pt>
                <c:pt idx="28">
                  <c:v>8.44</c:v>
                </c:pt>
                <c:pt idx="29">
                  <c:v>1.76</c:v>
                </c:pt>
                <c:pt idx="30">
                  <c:v>5.3</c:v>
                </c:pt>
                <c:pt idx="31">
                  <c:v>3.3</c:v>
                </c:pt>
                <c:pt idx="32">
                  <c:v>9.24</c:v>
                </c:pt>
                <c:pt idx="33">
                  <c:v>9.23</c:v>
                </c:pt>
                <c:pt idx="34">
                  <c:v>3.89</c:v>
                </c:pt>
                <c:pt idx="35">
                  <c:v>4.6100000000000003</c:v>
                </c:pt>
                <c:pt idx="36">
                  <c:v>2.86</c:v>
                </c:pt>
                <c:pt idx="37">
                  <c:v>4.34</c:v>
                </c:pt>
                <c:pt idx="38">
                  <c:v>8.6199999999999992</c:v>
                </c:pt>
                <c:pt idx="39">
                  <c:v>7.23</c:v>
                </c:pt>
                <c:pt idx="40">
                  <c:v>7.74</c:v>
                </c:pt>
                <c:pt idx="41">
                  <c:v>1.53</c:v>
                </c:pt>
                <c:pt idx="42">
                  <c:v>6.27</c:v>
                </c:pt>
                <c:pt idx="43">
                  <c:v>3.19</c:v>
                </c:pt>
                <c:pt idx="44">
                  <c:v>6.73</c:v>
                </c:pt>
                <c:pt idx="45">
                  <c:v>6.8</c:v>
                </c:pt>
                <c:pt idx="46">
                  <c:v>5.69</c:v>
                </c:pt>
                <c:pt idx="47">
                  <c:v>6.09</c:v>
                </c:pt>
                <c:pt idx="48">
                  <c:v>1.82</c:v>
                </c:pt>
              </c:numCache>
            </c:numRef>
          </c:yVal>
          <c:smooth val="0"/>
          <c:extLst>
            <c:ext xmlns:c16="http://schemas.microsoft.com/office/drawing/2014/chart" uri="{C3380CC4-5D6E-409C-BE32-E72D297353CC}">
              <c16:uniqueId val="{000000D1-9E35-4633-9BF9-A47FFC0955AB}"/>
            </c:ext>
          </c:extLst>
        </c:ser>
        <c:dLbls>
          <c:showLegendKey val="0"/>
          <c:showVal val="0"/>
          <c:showCatName val="0"/>
          <c:showSerName val="0"/>
          <c:showPercent val="0"/>
          <c:showBubbleSize val="0"/>
        </c:dLbls>
        <c:axId val="1655757024"/>
        <c:axId val="1655752704"/>
      </c:scatterChart>
      <c:valAx>
        <c:axId val="16557570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ad spend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752704"/>
        <c:crosses val="autoZero"/>
        <c:crossBetween val="midCat"/>
      </c:valAx>
      <c:valAx>
        <c:axId val="1655752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Engagement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7570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180974</xdr:colOff>
      <xdr:row>0</xdr:row>
      <xdr:rowOff>52387</xdr:rowOff>
    </xdr:from>
    <xdr:to>
      <xdr:col>12</xdr:col>
      <xdr:colOff>590549</xdr:colOff>
      <xdr:row>76</xdr:row>
      <xdr:rowOff>19051</xdr:rowOff>
    </xdr:to>
    <xdr:graphicFrame macro="">
      <xdr:nvGraphicFramePr>
        <xdr:cNvPr id="8" name="Chart 7">
          <a:extLst>
            <a:ext uri="{FF2B5EF4-FFF2-40B4-BE49-F238E27FC236}">
              <a16:creationId xmlns:a16="http://schemas.microsoft.com/office/drawing/2014/main" id="{D1A47742-7FA9-138E-3A09-D2F25FA11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6.501951041668" createdVersion="8" refreshedVersion="8" minRefreshableVersion="3" recordCount="200" xr:uid="{E29707E7-0579-4EDF-804F-8E8A134F5E36}">
  <cacheSource type="worksheet">
    <worksheetSource ref="A1:H201" sheet="Engagement Summary"/>
  </cacheSource>
  <cacheFields count="8">
    <cacheField name="Week_Start_Date" numFmtId="0">
      <sharedItems/>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AVERAGE" numFmtId="164">
      <sharedItems containsSemiMixedTypes="0" containsString="0" containsNumber="1" minValue="5.5587999999999997" maxValue="5.71560000000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6.51297048611" createdVersion="8" refreshedVersion="8" minRefreshableVersion="3" recordCount="200" xr:uid="{AA26819A-F673-4AB0-A62C-7E01CD68661C}">
  <cacheSource type="worksheet">
    <worksheetSource ref="A1:I201" sheet="Engagement Summary"/>
  </cacheSource>
  <cacheFields count="9">
    <cacheField name="Week_Start_Date" numFmtId="0">
      <sharedItems/>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Average Engagement" numFmtId="164">
      <sharedItems containsSemiMixedTypes="0" containsString="0" containsNumber="1" minValue="5.5587999999999997" maxValue="5.7156000000000002"/>
    </cacheField>
    <cacheField name="growth rate of followers" numFmtId="0">
      <sharedItems containsSemiMixedTypes="0" containsString="0" containsNumber="1" containsInteger="1" minValue="-337" maxValue="188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024-06-03"/>
    <x v="0"/>
    <n v="1135"/>
    <n v="88"/>
    <n v="344084"/>
    <n v="8.06"/>
    <n v="5904"/>
    <n v="5.7156000000000002"/>
  </r>
  <r>
    <s v="2024-06-03"/>
    <x v="1"/>
    <n v="1312"/>
    <n v="310"/>
    <n v="42654"/>
    <n v="4.9800000000000004"/>
    <n v="9566"/>
    <n v="5.6486000000000001"/>
  </r>
  <r>
    <s v="2024-06-03"/>
    <x v="2"/>
    <n v="584"/>
    <n v="169"/>
    <n v="146834"/>
    <n v="8.31"/>
    <n v="26752"/>
    <n v="5.6558000000000002"/>
  </r>
  <r>
    <s v="2024-06-03"/>
    <x v="3"/>
    <n v="1535"/>
    <n v="445"/>
    <n v="395536"/>
    <n v="4.1100000000000003"/>
    <n v="30671"/>
    <n v="5.5587999999999997"/>
  </r>
  <r>
    <s v="2024-06-10"/>
    <x v="0"/>
    <n v="656"/>
    <n v="139"/>
    <n v="49157"/>
    <n v="9.0500000000000007"/>
    <n v="9920"/>
    <n v="5.7156000000000002"/>
  </r>
  <r>
    <s v="2024-06-10"/>
    <x v="1"/>
    <n v="1697"/>
    <n v="414"/>
    <n v="316555"/>
    <n v="2.37"/>
    <n v="7924"/>
    <n v="5.6486000000000001"/>
  </r>
  <r>
    <s v="2024-06-10"/>
    <x v="2"/>
    <n v="436"/>
    <n v="250"/>
    <n v="254347"/>
    <n v="4.01"/>
    <n v="8912"/>
    <n v="5.6558000000000002"/>
  </r>
  <r>
    <s v="2024-06-10"/>
    <x v="3"/>
    <n v="1197"/>
    <n v="203"/>
    <n v="413878"/>
    <n v="3.16"/>
    <n v="21205"/>
    <n v="5.5587999999999997"/>
  </r>
  <r>
    <s v="2024-06-17"/>
    <x v="0"/>
    <n v="1048"/>
    <n v="155"/>
    <n v="456946"/>
    <n v="2.46"/>
    <n v="11329"/>
    <n v="5.7156000000000002"/>
  </r>
  <r>
    <s v="2024-06-17"/>
    <x v="1"/>
    <n v="1753"/>
    <n v="371"/>
    <n v="169496"/>
    <n v="8.11"/>
    <n v="46670"/>
    <n v="5.6486000000000001"/>
  </r>
  <r>
    <s v="2024-06-17"/>
    <x v="2"/>
    <n v="1335"/>
    <n v="40"/>
    <n v="122732"/>
    <n v="8.19"/>
    <n v="22482"/>
    <n v="5.6558000000000002"/>
  </r>
  <r>
    <s v="2024-06-17"/>
    <x v="3"/>
    <n v="403"/>
    <n v="66"/>
    <n v="382851"/>
    <n v="3.49"/>
    <n v="24313"/>
    <n v="5.5587999999999997"/>
  </r>
  <r>
    <s v="2024-06-24"/>
    <x v="0"/>
    <n v="911"/>
    <n v="282"/>
    <n v="35664"/>
    <n v="6.92"/>
    <n v="18050"/>
    <n v="5.7156000000000002"/>
  </r>
  <r>
    <s v="2024-06-24"/>
    <x v="1"/>
    <n v="1779"/>
    <n v="109"/>
    <n v="26295"/>
    <n v="9.1199999999999992"/>
    <n v="30635"/>
    <n v="5.6486000000000001"/>
  </r>
  <r>
    <s v="2024-06-24"/>
    <x v="2"/>
    <n v="1238"/>
    <n v="403"/>
    <n v="298421"/>
    <n v="3.5"/>
    <n v="31280"/>
    <n v="5.6558000000000002"/>
  </r>
  <r>
    <s v="2024-06-24"/>
    <x v="3"/>
    <n v="308"/>
    <n v="431"/>
    <n v="426184"/>
    <n v="2.62"/>
    <n v="1783"/>
    <n v="5.5587999999999997"/>
  </r>
  <r>
    <s v="2024-07-01"/>
    <x v="0"/>
    <n v="226"/>
    <n v="445"/>
    <n v="419447"/>
    <n v="9.36"/>
    <n v="9566"/>
    <n v="5.7156000000000002"/>
  </r>
  <r>
    <s v="2024-07-01"/>
    <x v="1"/>
    <n v="505"/>
    <n v="441"/>
    <n v="220020"/>
    <n v="4.4800000000000004"/>
    <n v="42307"/>
    <n v="5.6486000000000001"/>
  </r>
  <r>
    <s v="2024-07-01"/>
    <x v="2"/>
    <n v="1420"/>
    <n v="63"/>
    <n v="315305"/>
    <n v="6.19"/>
    <n v="5914"/>
    <n v="5.6558000000000002"/>
  </r>
  <r>
    <s v="2024-07-01"/>
    <x v="3"/>
    <n v="144"/>
    <n v="53"/>
    <n v="113678"/>
    <n v="8.7200000000000006"/>
    <n v="30060"/>
    <n v="5.5587999999999997"/>
  </r>
  <r>
    <s v="2024-07-08"/>
    <x v="0"/>
    <n v="1757"/>
    <n v="85"/>
    <n v="58223"/>
    <n v="8.74"/>
    <n v="22728"/>
    <n v="5.7156000000000002"/>
  </r>
  <r>
    <s v="2024-07-08"/>
    <x v="1"/>
    <n v="350"/>
    <n v="41"/>
    <n v="251694"/>
    <n v="1.91"/>
    <n v="38610"/>
    <n v="5.6486000000000001"/>
  </r>
  <r>
    <s v="2024-07-08"/>
    <x v="2"/>
    <n v="987"/>
    <n v="440"/>
    <n v="389810"/>
    <n v="4.66"/>
    <n v="2932"/>
    <n v="5.6558000000000002"/>
  </r>
  <r>
    <s v="2024-07-08"/>
    <x v="3"/>
    <n v="883"/>
    <n v="369"/>
    <n v="233694"/>
    <n v="2.88"/>
    <n v="15071"/>
    <n v="5.5587999999999997"/>
  </r>
  <r>
    <s v="2024-07-15"/>
    <x v="0"/>
    <n v="1960"/>
    <n v="115"/>
    <n v="154169"/>
    <n v="3.74"/>
    <n v="10740"/>
    <n v="5.7156000000000002"/>
  </r>
  <r>
    <s v="2024-07-15"/>
    <x v="1"/>
    <n v="170"/>
    <n v="334"/>
    <n v="334626"/>
    <n v="6.44"/>
    <n v="43420"/>
    <n v="5.6486000000000001"/>
  </r>
  <r>
    <s v="2024-07-15"/>
    <x v="2"/>
    <n v="704"/>
    <n v="275"/>
    <n v="226002"/>
    <n v="8.56"/>
    <n v="32393"/>
    <n v="5.6558000000000002"/>
  </r>
  <r>
    <s v="2024-07-15"/>
    <x v="3"/>
    <n v="224"/>
    <n v="64"/>
    <n v="156683"/>
    <n v="4.5599999999999996"/>
    <n v="28474"/>
    <n v="5.5587999999999997"/>
  </r>
  <r>
    <s v="2024-07-22"/>
    <x v="0"/>
    <n v="508"/>
    <n v="349"/>
    <n v="473812"/>
    <n v="7.88"/>
    <n v="17328"/>
    <n v="5.7156000000000002"/>
  </r>
  <r>
    <s v="2024-07-22"/>
    <x v="1"/>
    <n v="1391"/>
    <n v="430"/>
    <n v="295032"/>
    <n v="7.86"/>
    <n v="26067"/>
    <n v="5.6486000000000001"/>
  </r>
  <r>
    <s v="2024-07-22"/>
    <x v="2"/>
    <n v="1701"/>
    <n v="385"/>
    <n v="198278"/>
    <n v="5.34"/>
    <n v="32763"/>
    <n v="5.6558000000000002"/>
  </r>
  <r>
    <s v="2024-07-22"/>
    <x v="3"/>
    <n v="804"/>
    <n v="487"/>
    <n v="306564"/>
    <n v="5.52"/>
    <n v="26452"/>
    <n v="5.5587999999999997"/>
  </r>
  <r>
    <s v="2024-07-29"/>
    <x v="0"/>
    <n v="653"/>
    <n v="112"/>
    <n v="23664"/>
    <n v="4.05"/>
    <n v="15353"/>
    <n v="5.7156000000000002"/>
  </r>
  <r>
    <s v="2024-07-29"/>
    <x v="1"/>
    <n v="160"/>
    <n v="478"/>
    <n v="435034"/>
    <n v="7.73"/>
    <n v="4839"/>
    <n v="5.6486000000000001"/>
  </r>
  <r>
    <s v="2024-07-29"/>
    <x v="2"/>
    <n v="1756"/>
    <n v="261"/>
    <n v="287574"/>
    <n v="4.3600000000000003"/>
    <n v="39272"/>
    <n v="5.6558000000000002"/>
  </r>
  <r>
    <s v="2024-07-29"/>
    <x v="3"/>
    <n v="576"/>
    <n v="101"/>
    <n v="62499"/>
    <n v="3.48"/>
    <n v="16804"/>
    <n v="5.5587999999999997"/>
  </r>
  <r>
    <s v="2024-08-05"/>
    <x v="0"/>
    <n v="645"/>
    <n v="293"/>
    <n v="437968"/>
    <n v="7.83"/>
    <n v="49303"/>
    <n v="5.7156000000000002"/>
  </r>
  <r>
    <s v="2024-08-05"/>
    <x v="1"/>
    <n v="214"/>
    <n v="411"/>
    <n v="125034"/>
    <n v="6.11"/>
    <n v="26455"/>
    <n v="5.6486000000000001"/>
  </r>
  <r>
    <s v="2024-08-05"/>
    <x v="2"/>
    <n v="826"/>
    <n v="498"/>
    <n v="449994"/>
    <n v="9.43"/>
    <n v="12384"/>
    <n v="5.6558000000000002"/>
  </r>
  <r>
    <s v="2024-08-05"/>
    <x v="3"/>
    <n v="460"/>
    <n v="141"/>
    <n v="320650"/>
    <n v="4.04"/>
    <n v="49372"/>
    <n v="5.5587999999999997"/>
  </r>
  <r>
    <s v="2024-08-12"/>
    <x v="0"/>
    <n v="1528"/>
    <n v="203"/>
    <n v="489188"/>
    <n v="6.23"/>
    <n v="47101"/>
    <n v="5.7156000000000002"/>
  </r>
  <r>
    <s v="2024-08-12"/>
    <x v="1"/>
    <n v="1534"/>
    <n v="200"/>
    <n v="307612"/>
    <n v="6.01"/>
    <n v="37903"/>
    <n v="5.6486000000000001"/>
  </r>
  <r>
    <s v="2024-08-12"/>
    <x v="2"/>
    <n v="485"/>
    <n v="448"/>
    <n v="434883"/>
    <n v="8.5500000000000007"/>
    <n v="33258"/>
    <n v="5.6558000000000002"/>
  </r>
  <r>
    <s v="2024-08-12"/>
    <x v="3"/>
    <n v="1210"/>
    <n v="178"/>
    <n v="102042"/>
    <n v="5.42"/>
    <n v="6915"/>
    <n v="5.5587999999999997"/>
  </r>
  <r>
    <s v="2024-08-19"/>
    <x v="0"/>
    <n v="215"/>
    <n v="139"/>
    <n v="325444"/>
    <n v="3.25"/>
    <n v="35501"/>
    <n v="5.7156000000000002"/>
  </r>
  <r>
    <s v="2024-08-19"/>
    <x v="1"/>
    <n v="1078"/>
    <n v="20"/>
    <n v="183924"/>
    <n v="8.84"/>
    <n v="14203"/>
    <n v="5.6486000000000001"/>
  </r>
  <r>
    <s v="2024-08-19"/>
    <x v="2"/>
    <n v="1751"/>
    <n v="86"/>
    <n v="188655"/>
    <n v="7.24"/>
    <n v="22206"/>
    <n v="5.6558000000000002"/>
  </r>
  <r>
    <s v="2024-08-19"/>
    <x v="3"/>
    <n v="221"/>
    <n v="31"/>
    <n v="87443"/>
    <n v="6.19"/>
    <n v="10283"/>
    <n v="5.5587999999999997"/>
  </r>
  <r>
    <s v="2024-08-26"/>
    <x v="0"/>
    <n v="1685"/>
    <n v="76"/>
    <n v="453799"/>
    <n v="5.71"/>
    <n v="24913"/>
    <n v="5.7156000000000002"/>
  </r>
  <r>
    <s v="2024-08-26"/>
    <x v="1"/>
    <n v="248"/>
    <n v="211"/>
    <n v="379380"/>
    <n v="9.0399999999999991"/>
    <n v="26925"/>
    <n v="5.6486000000000001"/>
  </r>
  <r>
    <s v="2024-08-26"/>
    <x v="2"/>
    <n v="1300"/>
    <n v="71"/>
    <n v="186454"/>
    <n v="3.91"/>
    <n v="9942"/>
    <n v="5.6558000000000002"/>
  </r>
  <r>
    <s v="2024-08-26"/>
    <x v="3"/>
    <n v="422"/>
    <n v="394"/>
    <n v="239044"/>
    <n v="7.83"/>
    <n v="32929"/>
    <n v="5.5587999999999997"/>
  </r>
  <r>
    <s v="2024-09-02"/>
    <x v="0"/>
    <n v="1429"/>
    <n v="182"/>
    <n v="101332"/>
    <n v="7.16"/>
    <n v="37829"/>
    <n v="5.7156000000000002"/>
  </r>
  <r>
    <s v="2024-09-02"/>
    <x v="1"/>
    <n v="1520"/>
    <n v="475"/>
    <n v="496982"/>
    <n v="6.41"/>
    <n v="24384"/>
    <n v="5.6486000000000001"/>
  </r>
  <r>
    <s v="2024-09-02"/>
    <x v="2"/>
    <n v="557"/>
    <n v="360"/>
    <n v="318779"/>
    <n v="8.02"/>
    <n v="25797"/>
    <n v="5.6558000000000002"/>
  </r>
  <r>
    <s v="2024-09-02"/>
    <x v="3"/>
    <n v="728"/>
    <n v="395"/>
    <n v="370971"/>
    <n v="3.86"/>
    <n v="12646"/>
    <n v="5.5587999999999997"/>
  </r>
  <r>
    <s v="2024-09-09"/>
    <x v="0"/>
    <n v="1592"/>
    <n v="20"/>
    <n v="378054"/>
    <n v="9.09"/>
    <n v="26663"/>
    <n v="5.7156000000000002"/>
  </r>
  <r>
    <s v="2024-09-09"/>
    <x v="1"/>
    <n v="1842"/>
    <n v="414"/>
    <n v="307524"/>
    <n v="1.76"/>
    <n v="40478"/>
    <n v="5.6486000000000001"/>
  </r>
  <r>
    <s v="2024-09-09"/>
    <x v="2"/>
    <n v="751"/>
    <n v="491"/>
    <n v="434047"/>
    <n v="9.24"/>
    <n v="15476"/>
    <n v="5.6558000000000002"/>
  </r>
  <r>
    <s v="2024-09-09"/>
    <x v="3"/>
    <n v="1409"/>
    <n v="309"/>
    <n v="64583"/>
    <n v="8.99"/>
    <n v="10217"/>
    <n v="5.5587999999999997"/>
  </r>
  <r>
    <s v="2024-09-16"/>
    <x v="0"/>
    <n v="778"/>
    <n v="401"/>
    <n v="50793"/>
    <n v="3.4"/>
    <n v="21939"/>
    <n v="5.7156000000000002"/>
  </r>
  <r>
    <s v="2024-09-16"/>
    <x v="1"/>
    <n v="443"/>
    <n v="345"/>
    <n v="474162"/>
    <n v="9.1999999999999993"/>
    <n v="47462"/>
    <n v="5.6486000000000001"/>
  </r>
  <r>
    <s v="2024-09-16"/>
    <x v="2"/>
    <n v="1472"/>
    <n v="347"/>
    <n v="392355"/>
    <n v="8.59"/>
    <n v="30270"/>
    <n v="5.6558000000000002"/>
  </r>
  <r>
    <s v="2024-09-16"/>
    <x v="3"/>
    <n v="123"/>
    <n v="155"/>
    <n v="119934"/>
    <n v="3.5"/>
    <n v="5442"/>
    <n v="5.5587999999999997"/>
  </r>
  <r>
    <s v="2024-09-23"/>
    <x v="0"/>
    <n v="817"/>
    <n v="151"/>
    <n v="422625"/>
    <n v="2.36"/>
    <n v="1083"/>
    <n v="5.7156000000000002"/>
  </r>
  <r>
    <s v="2024-09-23"/>
    <x v="1"/>
    <n v="198"/>
    <n v="217"/>
    <n v="239753"/>
    <n v="7.36"/>
    <n v="11901"/>
    <n v="5.6486000000000001"/>
  </r>
  <r>
    <s v="2024-09-23"/>
    <x v="2"/>
    <n v="1911"/>
    <n v="231"/>
    <n v="268516"/>
    <n v="8.5500000000000007"/>
    <n v="24018"/>
    <n v="5.6558000000000002"/>
  </r>
  <r>
    <s v="2024-09-23"/>
    <x v="3"/>
    <n v="1218"/>
    <n v="212"/>
    <n v="63177"/>
    <n v="8.1300000000000008"/>
    <n v="38883"/>
    <n v="5.5587999999999997"/>
  </r>
  <r>
    <s v="2024-09-30"/>
    <x v="0"/>
    <n v="1433"/>
    <n v="408"/>
    <n v="370269"/>
    <n v="3.3"/>
    <n v="30575"/>
    <n v="5.7156000000000002"/>
  </r>
  <r>
    <s v="2024-09-30"/>
    <x v="1"/>
    <n v="250"/>
    <n v="429"/>
    <n v="453423"/>
    <n v="1.77"/>
    <n v="2315"/>
    <n v="5.6486000000000001"/>
  </r>
  <r>
    <s v="2024-09-30"/>
    <x v="2"/>
    <n v="752"/>
    <n v="153"/>
    <n v="64906"/>
    <n v="2.09"/>
    <n v="12148"/>
    <n v="5.6558000000000002"/>
  </r>
  <r>
    <s v="2024-09-30"/>
    <x v="3"/>
    <n v="1918"/>
    <n v="212"/>
    <n v="94360"/>
    <n v="7.36"/>
    <n v="36851"/>
    <n v="5.5587999999999997"/>
  </r>
  <r>
    <s v="2024-10-07"/>
    <x v="0"/>
    <n v="1939"/>
    <n v="67"/>
    <n v="187183"/>
    <n v="6.25"/>
    <n v="41215"/>
    <n v="5.7156000000000002"/>
  </r>
  <r>
    <s v="2024-10-07"/>
    <x v="1"/>
    <n v="1929"/>
    <n v="267"/>
    <n v="379363"/>
    <n v="1.75"/>
    <n v="43836"/>
    <n v="5.6486000000000001"/>
  </r>
  <r>
    <s v="2024-10-07"/>
    <x v="2"/>
    <n v="437"/>
    <n v="330"/>
    <n v="476486"/>
    <n v="4.97"/>
    <n v="4509"/>
    <n v="5.6558000000000002"/>
  </r>
  <r>
    <s v="2024-10-07"/>
    <x v="3"/>
    <n v="307"/>
    <n v="189"/>
    <n v="117767"/>
    <n v="9.3000000000000007"/>
    <n v="27822"/>
    <n v="5.5587999999999997"/>
  </r>
  <r>
    <s v="2024-10-14"/>
    <x v="0"/>
    <n v="1527"/>
    <n v="303"/>
    <n v="388555"/>
    <n v="8.9"/>
    <n v="36397"/>
    <n v="5.7156000000000002"/>
  </r>
  <r>
    <s v="2024-10-14"/>
    <x v="1"/>
    <n v="643"/>
    <n v="358"/>
    <n v="157599"/>
    <n v="3.88"/>
    <n v="7285"/>
    <n v="5.6486000000000001"/>
  </r>
  <r>
    <s v="2024-10-14"/>
    <x v="2"/>
    <n v="201"/>
    <n v="221"/>
    <n v="309772"/>
    <n v="5.9"/>
    <n v="33174"/>
    <n v="5.6558000000000002"/>
  </r>
  <r>
    <s v="2024-10-14"/>
    <x v="3"/>
    <n v="414"/>
    <n v="47"/>
    <n v="199178"/>
    <n v="1.53"/>
    <n v="6742"/>
    <n v="5.5587999999999997"/>
  </r>
  <r>
    <s v="2024-10-21"/>
    <x v="0"/>
    <n v="703"/>
    <n v="441"/>
    <n v="357089"/>
    <n v="6.5"/>
    <n v="32478"/>
    <n v="5.7156000000000002"/>
  </r>
  <r>
    <s v="2024-10-21"/>
    <x v="1"/>
    <n v="508"/>
    <n v="69"/>
    <n v="23492"/>
    <n v="3.16"/>
    <n v="42824"/>
    <n v="5.6486000000000001"/>
  </r>
  <r>
    <s v="2024-10-21"/>
    <x v="2"/>
    <n v="697"/>
    <n v="61"/>
    <n v="258287"/>
    <n v="8.25"/>
    <n v="21208"/>
    <n v="5.6558000000000002"/>
  </r>
  <r>
    <s v="2024-10-21"/>
    <x v="3"/>
    <n v="1707"/>
    <n v="223"/>
    <n v="256910"/>
    <n v="5.41"/>
    <n v="44321"/>
    <n v="5.5587999999999997"/>
  </r>
  <r>
    <s v="2024-10-28"/>
    <x v="0"/>
    <n v="642"/>
    <n v="66"/>
    <n v="346522"/>
    <n v="5.85"/>
    <n v="13116"/>
    <n v="5.7156000000000002"/>
  </r>
  <r>
    <s v="2024-10-28"/>
    <x v="1"/>
    <n v="859"/>
    <n v="473"/>
    <n v="209987"/>
    <n v="4.46"/>
    <n v="30214"/>
    <n v="5.6486000000000001"/>
  </r>
  <r>
    <s v="2024-10-28"/>
    <x v="2"/>
    <n v="191"/>
    <n v="154"/>
    <n v="240550"/>
    <n v="5.22"/>
    <n v="15827"/>
    <n v="5.6558000000000002"/>
  </r>
  <r>
    <s v="2024-10-28"/>
    <x v="3"/>
    <n v="1814"/>
    <n v="157"/>
    <n v="305827"/>
    <n v="1.99"/>
    <n v="46643"/>
    <n v="5.5587999999999997"/>
  </r>
  <r>
    <s v="2024-11-04"/>
    <x v="0"/>
    <n v="1466"/>
    <n v="69"/>
    <n v="54935"/>
    <n v="6.85"/>
    <n v="36484"/>
    <n v="5.7156000000000002"/>
  </r>
  <r>
    <s v="2024-11-04"/>
    <x v="1"/>
    <n v="947"/>
    <n v="407"/>
    <n v="319186"/>
    <n v="3.32"/>
    <n v="4996"/>
    <n v="5.6486000000000001"/>
  </r>
  <r>
    <s v="2024-11-04"/>
    <x v="2"/>
    <n v="1821"/>
    <n v="218"/>
    <n v="439080"/>
    <n v="5.68"/>
    <n v="36095"/>
    <n v="5.6558000000000002"/>
  </r>
  <r>
    <s v="2024-11-04"/>
    <x v="3"/>
    <n v="1507"/>
    <n v="463"/>
    <n v="258944"/>
    <n v="6.08"/>
    <n v="16443"/>
    <n v="5.5587999999999997"/>
  </r>
  <r>
    <s v="2024-11-11"/>
    <x v="0"/>
    <n v="1075"/>
    <n v="173"/>
    <n v="51395"/>
    <n v="4.66"/>
    <n v="47812"/>
    <n v="5.7156000000000002"/>
  </r>
  <r>
    <s v="2024-11-11"/>
    <x v="1"/>
    <n v="171"/>
    <n v="277"/>
    <n v="309483"/>
    <n v="8.6999999999999993"/>
    <n v="38452"/>
    <n v="5.6486000000000001"/>
  </r>
  <r>
    <s v="2024-11-11"/>
    <x v="2"/>
    <n v="1487"/>
    <n v="337"/>
    <n v="87305"/>
    <n v="2.46"/>
    <n v="30428"/>
    <n v="5.6558000000000002"/>
  </r>
  <r>
    <s v="2024-11-11"/>
    <x v="3"/>
    <n v="454"/>
    <n v="105"/>
    <n v="121091"/>
    <n v="7.97"/>
    <n v="9269"/>
    <n v="5.5587999999999997"/>
  </r>
  <r>
    <s v="2024-11-18"/>
    <x v="0"/>
    <n v="187"/>
    <n v="236"/>
    <n v="51087"/>
    <n v="9.41"/>
    <n v="29533"/>
    <n v="5.7156000000000002"/>
  </r>
  <r>
    <s v="2024-11-18"/>
    <x v="1"/>
    <n v="513"/>
    <n v="441"/>
    <n v="338847"/>
    <n v="2.68"/>
    <n v="39997"/>
    <n v="5.6486000000000001"/>
  </r>
  <r>
    <s v="2024-11-18"/>
    <x v="2"/>
    <n v="628"/>
    <n v="183"/>
    <n v="487523"/>
    <n v="7.32"/>
    <n v="5391"/>
    <n v="5.6558000000000002"/>
  </r>
  <r>
    <s v="2024-11-18"/>
    <x v="3"/>
    <n v="278"/>
    <n v="218"/>
    <n v="301695"/>
    <n v="4.68"/>
    <n v="22373"/>
    <n v="5.5587999999999997"/>
  </r>
  <r>
    <s v="2024-11-25"/>
    <x v="0"/>
    <n v="1854"/>
    <n v="161"/>
    <n v="282466"/>
    <n v="5.17"/>
    <n v="1810"/>
    <n v="5.7156000000000002"/>
  </r>
  <r>
    <s v="2024-11-25"/>
    <x v="1"/>
    <n v="1710"/>
    <n v="378"/>
    <n v="336661"/>
    <n v="6.2"/>
    <n v="28498"/>
    <n v="5.6486000000000001"/>
  </r>
  <r>
    <s v="2024-11-25"/>
    <x v="2"/>
    <n v="330"/>
    <n v="232"/>
    <n v="88455"/>
    <n v="2.69"/>
    <n v="39530"/>
    <n v="5.6558000000000002"/>
  </r>
  <r>
    <s v="2024-11-25"/>
    <x v="3"/>
    <n v="1293"/>
    <n v="408"/>
    <n v="62535"/>
    <n v="8.9"/>
    <n v="37876"/>
    <n v="5.5587999999999997"/>
  </r>
  <r>
    <s v="2024-12-02"/>
    <x v="0"/>
    <n v="1696"/>
    <n v="71"/>
    <n v="421957"/>
    <n v="3.79"/>
    <n v="36103"/>
    <n v="5.7156000000000002"/>
  </r>
  <r>
    <s v="2024-12-02"/>
    <x v="1"/>
    <n v="1902"/>
    <n v="196"/>
    <n v="470269"/>
    <n v="4.79"/>
    <n v="26103"/>
    <n v="5.6486000000000001"/>
  </r>
  <r>
    <s v="2024-12-02"/>
    <x v="2"/>
    <n v="1441"/>
    <n v="268"/>
    <n v="309904"/>
    <n v="6.37"/>
    <n v="3455"/>
    <n v="5.6558000000000002"/>
  </r>
  <r>
    <s v="2024-12-02"/>
    <x v="3"/>
    <n v="452"/>
    <n v="161"/>
    <n v="221274"/>
    <n v="2.65"/>
    <n v="40888"/>
    <n v="5.5587999999999997"/>
  </r>
  <r>
    <s v="2024-12-09"/>
    <x v="0"/>
    <n v="1494"/>
    <n v="375"/>
    <n v="220616"/>
    <n v="1.81"/>
    <n v="22724"/>
    <n v="5.7156000000000002"/>
  </r>
  <r>
    <s v="2024-12-09"/>
    <x v="1"/>
    <n v="1514"/>
    <n v="141"/>
    <n v="35842"/>
    <n v="7.47"/>
    <n v="18601"/>
    <n v="5.6486000000000001"/>
  </r>
  <r>
    <s v="2024-12-09"/>
    <x v="2"/>
    <n v="1937"/>
    <n v="210"/>
    <n v="20607"/>
    <n v="4.2"/>
    <n v="20861"/>
    <n v="5.6558000000000002"/>
  </r>
  <r>
    <s v="2024-12-09"/>
    <x v="3"/>
    <n v="736"/>
    <n v="163"/>
    <n v="451894"/>
    <n v="5.43"/>
    <n v="46625"/>
    <n v="5.5587999999999997"/>
  </r>
  <r>
    <s v="2024-12-16"/>
    <x v="0"/>
    <n v="1502"/>
    <n v="70"/>
    <n v="465553"/>
    <n v="3.32"/>
    <n v="20692"/>
    <n v="5.7156000000000002"/>
  </r>
  <r>
    <s v="2024-12-16"/>
    <x v="1"/>
    <n v="1623"/>
    <n v="246"/>
    <n v="415815"/>
    <n v="8.11"/>
    <n v="18656"/>
    <n v="5.6486000000000001"/>
  </r>
  <r>
    <s v="2024-12-16"/>
    <x v="2"/>
    <n v="1592"/>
    <n v="233"/>
    <n v="327183"/>
    <n v="6.66"/>
    <n v="13316"/>
    <n v="5.6558000000000002"/>
  </r>
  <r>
    <s v="2024-12-16"/>
    <x v="3"/>
    <n v="1004"/>
    <n v="128"/>
    <n v="488901"/>
    <n v="8.09"/>
    <n v="49558"/>
    <n v="5.5587999999999997"/>
  </r>
  <r>
    <s v="2024-12-23"/>
    <x v="0"/>
    <n v="1092"/>
    <n v="408"/>
    <n v="280795"/>
    <n v="8.44"/>
    <n v="4683"/>
    <n v="5.7156000000000002"/>
  </r>
  <r>
    <s v="2024-12-23"/>
    <x v="1"/>
    <n v="1155"/>
    <n v="425"/>
    <n v="93347"/>
    <n v="2.02"/>
    <n v="47502"/>
    <n v="5.6486000000000001"/>
  </r>
  <r>
    <s v="2024-12-23"/>
    <x v="2"/>
    <n v="1137"/>
    <n v="226"/>
    <n v="81119"/>
    <n v="7.74"/>
    <n v="35359"/>
    <n v="5.6558000000000002"/>
  </r>
  <r>
    <s v="2024-12-23"/>
    <x v="3"/>
    <n v="1900"/>
    <n v="311"/>
    <n v="25177"/>
    <n v="2.89"/>
    <n v="14154"/>
    <n v="5.5587999999999997"/>
  </r>
  <r>
    <s v="2024-12-30"/>
    <x v="0"/>
    <n v="1814"/>
    <n v="49"/>
    <n v="140804"/>
    <n v="1.76"/>
    <n v="4313"/>
    <n v="5.7156000000000002"/>
  </r>
  <r>
    <s v="2024-12-30"/>
    <x v="1"/>
    <n v="1980"/>
    <n v="204"/>
    <n v="379431"/>
    <n v="3.09"/>
    <n v="25140"/>
    <n v="5.6486000000000001"/>
  </r>
  <r>
    <s v="2024-12-30"/>
    <x v="2"/>
    <n v="1786"/>
    <n v="257"/>
    <n v="274831"/>
    <n v="4.68"/>
    <n v="9118"/>
    <n v="5.6558000000000002"/>
  </r>
  <r>
    <s v="2024-12-30"/>
    <x v="3"/>
    <n v="1495"/>
    <n v="35"/>
    <n v="136845"/>
    <n v="4.4800000000000004"/>
    <n v="39931"/>
    <n v="5.5587999999999997"/>
  </r>
  <r>
    <s v="2025-01-06"/>
    <x v="0"/>
    <n v="1013"/>
    <n v="110"/>
    <n v="466382"/>
    <n v="5.3"/>
    <n v="37132"/>
    <n v="5.7156000000000002"/>
  </r>
  <r>
    <s v="2025-01-06"/>
    <x v="1"/>
    <n v="816"/>
    <n v="196"/>
    <n v="95728"/>
    <n v="8.1999999999999993"/>
    <n v="17951"/>
    <n v="5.6486000000000001"/>
  </r>
  <r>
    <s v="2025-01-06"/>
    <x v="2"/>
    <n v="1633"/>
    <n v="445"/>
    <n v="371156"/>
    <n v="2.2200000000000002"/>
    <n v="2798"/>
    <n v="5.6558000000000002"/>
  </r>
  <r>
    <s v="2025-01-06"/>
    <x v="3"/>
    <n v="891"/>
    <n v="45"/>
    <n v="95410"/>
    <n v="8.33"/>
    <n v="15045"/>
    <n v="5.5587999999999997"/>
  </r>
  <r>
    <s v="2025-01-13"/>
    <x v="0"/>
    <n v="1855"/>
    <n v="133"/>
    <n v="349413"/>
    <n v="3.3"/>
    <n v="14548"/>
    <n v="5.7156000000000002"/>
  </r>
  <r>
    <s v="2025-01-13"/>
    <x v="1"/>
    <n v="651"/>
    <n v="353"/>
    <n v="224699"/>
    <n v="5.61"/>
    <n v="45708"/>
    <n v="5.6486000000000001"/>
  </r>
  <r>
    <s v="2025-01-13"/>
    <x v="2"/>
    <n v="118"/>
    <n v="262"/>
    <n v="487896"/>
    <n v="2.56"/>
    <n v="12350"/>
    <n v="5.6558000000000002"/>
  </r>
  <r>
    <s v="2025-01-13"/>
    <x v="3"/>
    <n v="1331"/>
    <n v="430"/>
    <n v="14437"/>
    <n v="3.29"/>
    <n v="40868"/>
    <n v="5.5587999999999997"/>
  </r>
  <r>
    <s v="2025-01-20"/>
    <x v="0"/>
    <n v="1748"/>
    <n v="176"/>
    <n v="383681"/>
    <n v="9.24"/>
    <n v="43122"/>
    <n v="5.7156000000000002"/>
  </r>
  <r>
    <s v="2025-01-20"/>
    <x v="1"/>
    <n v="663"/>
    <n v="236"/>
    <n v="479490"/>
    <n v="4.51"/>
    <n v="23853"/>
    <n v="5.6486000000000001"/>
  </r>
  <r>
    <s v="2025-01-20"/>
    <x v="2"/>
    <n v="1040"/>
    <n v="149"/>
    <n v="124404"/>
    <n v="5.23"/>
    <n v="45380"/>
    <n v="5.6558000000000002"/>
  </r>
  <r>
    <s v="2025-01-20"/>
    <x v="3"/>
    <n v="1166"/>
    <n v="442"/>
    <n v="336949"/>
    <n v="4.68"/>
    <n v="7705"/>
    <n v="5.5587999999999997"/>
  </r>
  <r>
    <s v="2025-01-27"/>
    <x v="0"/>
    <n v="115"/>
    <n v="281"/>
    <n v="357265"/>
    <n v="9.23"/>
    <n v="25525"/>
    <n v="5.7156000000000002"/>
  </r>
  <r>
    <s v="2025-01-27"/>
    <x v="1"/>
    <n v="1249"/>
    <n v="351"/>
    <n v="321307"/>
    <n v="6.37"/>
    <n v="20560"/>
    <n v="5.6486000000000001"/>
  </r>
  <r>
    <s v="2025-01-27"/>
    <x v="2"/>
    <n v="1501"/>
    <n v="75"/>
    <n v="262569"/>
    <n v="2.0099999999999998"/>
    <n v="19119"/>
    <n v="5.6558000000000002"/>
  </r>
  <r>
    <s v="2025-01-27"/>
    <x v="3"/>
    <n v="1411"/>
    <n v="186"/>
    <n v="461669"/>
    <n v="3.72"/>
    <n v="43999"/>
    <n v="5.5587999999999997"/>
  </r>
  <r>
    <s v="2025-02-03"/>
    <x v="0"/>
    <n v="1556"/>
    <n v="476"/>
    <n v="351556"/>
    <n v="3.89"/>
    <n v="10825"/>
    <n v="5.7156000000000002"/>
  </r>
  <r>
    <s v="2025-02-03"/>
    <x v="1"/>
    <n v="1159"/>
    <n v="411"/>
    <n v="135987"/>
    <n v="8.6999999999999993"/>
    <n v="40323"/>
    <n v="5.6486000000000001"/>
  </r>
  <r>
    <s v="2025-02-03"/>
    <x v="2"/>
    <n v="927"/>
    <n v="358"/>
    <n v="177554"/>
    <n v="6.95"/>
    <n v="48270"/>
    <n v="5.6558000000000002"/>
  </r>
  <r>
    <s v="2025-02-03"/>
    <x v="3"/>
    <n v="152"/>
    <n v="355"/>
    <n v="270766"/>
    <n v="9.48"/>
    <n v="18001"/>
    <n v="5.5587999999999997"/>
  </r>
  <r>
    <s v="2025-02-10"/>
    <x v="0"/>
    <n v="1957"/>
    <n v="234"/>
    <n v="222126"/>
    <n v="4.6100000000000003"/>
    <n v="3314"/>
    <n v="5.7156000000000002"/>
  </r>
  <r>
    <s v="2025-02-10"/>
    <x v="1"/>
    <n v="1294"/>
    <n v="382"/>
    <n v="309914"/>
    <n v="8.0299999999999994"/>
    <n v="23489"/>
    <n v="5.6486000000000001"/>
  </r>
  <r>
    <s v="2025-02-10"/>
    <x v="2"/>
    <n v="1587"/>
    <n v="385"/>
    <n v="126582"/>
    <n v="6.99"/>
    <n v="42832"/>
    <n v="5.6558000000000002"/>
  </r>
  <r>
    <s v="2025-02-10"/>
    <x v="3"/>
    <n v="1707"/>
    <n v="263"/>
    <n v="485280"/>
    <n v="9.0299999999999994"/>
    <n v="24494"/>
    <n v="5.5587999999999997"/>
  </r>
  <r>
    <s v="2025-02-17"/>
    <x v="0"/>
    <n v="1138"/>
    <n v="173"/>
    <n v="453243"/>
    <n v="2.86"/>
    <n v="44097"/>
    <n v="5.7156000000000002"/>
  </r>
  <r>
    <s v="2025-02-17"/>
    <x v="1"/>
    <n v="1895"/>
    <n v="305"/>
    <n v="104967"/>
    <n v="3.85"/>
    <n v="31853"/>
    <n v="5.6486000000000001"/>
  </r>
  <r>
    <s v="2025-02-17"/>
    <x v="2"/>
    <n v="362"/>
    <n v="399"/>
    <n v="145608"/>
    <n v="7.3"/>
    <n v="37636"/>
    <n v="5.6558000000000002"/>
  </r>
  <r>
    <s v="2025-02-17"/>
    <x v="3"/>
    <n v="1662"/>
    <n v="487"/>
    <n v="105980"/>
    <n v="9.08"/>
    <n v="22996"/>
    <n v="5.5587999999999997"/>
  </r>
  <r>
    <s v="2025-02-24"/>
    <x v="0"/>
    <n v="1440"/>
    <n v="65"/>
    <n v="126524"/>
    <n v="4.34"/>
    <n v="49772"/>
    <n v="5.7156000000000002"/>
  </r>
  <r>
    <s v="2025-02-24"/>
    <x v="1"/>
    <n v="1884"/>
    <n v="177"/>
    <n v="230448"/>
    <n v="7.8"/>
    <n v="22713"/>
    <n v="5.6486000000000001"/>
  </r>
  <r>
    <s v="2025-02-24"/>
    <x v="2"/>
    <n v="861"/>
    <n v="153"/>
    <n v="317007"/>
    <n v="3.85"/>
    <n v="8718"/>
    <n v="5.6558000000000002"/>
  </r>
  <r>
    <s v="2025-02-24"/>
    <x v="3"/>
    <n v="1063"/>
    <n v="47"/>
    <n v="464239"/>
    <n v="6.58"/>
    <n v="39031"/>
    <n v="5.5587999999999997"/>
  </r>
  <r>
    <s v="2025-03-03"/>
    <x v="0"/>
    <n v="1371"/>
    <n v="56"/>
    <n v="257579"/>
    <n v="8.6199999999999992"/>
    <n v="33799"/>
    <n v="5.7156000000000002"/>
  </r>
  <r>
    <s v="2025-03-03"/>
    <x v="1"/>
    <n v="345"/>
    <n v="464"/>
    <n v="366881"/>
    <n v="4.55"/>
    <n v="20553"/>
    <n v="5.6486000000000001"/>
  </r>
  <r>
    <s v="2025-03-03"/>
    <x v="2"/>
    <n v="946"/>
    <n v="47"/>
    <n v="466575"/>
    <n v="8.33"/>
    <n v="10002"/>
    <n v="5.6558000000000002"/>
  </r>
  <r>
    <s v="2025-03-03"/>
    <x v="3"/>
    <n v="510"/>
    <n v="195"/>
    <n v="224534"/>
    <n v="9.4"/>
    <n v="30987"/>
    <n v="5.5587999999999997"/>
  </r>
  <r>
    <s v="2025-03-10"/>
    <x v="0"/>
    <n v="393"/>
    <n v="181"/>
    <n v="462142"/>
    <n v="7.23"/>
    <n v="6296"/>
    <n v="5.7156000000000002"/>
  </r>
  <r>
    <s v="2025-03-10"/>
    <x v="1"/>
    <n v="1098"/>
    <n v="190"/>
    <n v="340842"/>
    <n v="9.39"/>
    <n v="21539"/>
    <n v="5.6486000000000001"/>
  </r>
  <r>
    <s v="2025-03-10"/>
    <x v="2"/>
    <n v="1399"/>
    <n v="49"/>
    <n v="12471"/>
    <n v="5.12"/>
    <n v="14722"/>
    <n v="5.6558000000000002"/>
  </r>
  <r>
    <s v="2025-03-10"/>
    <x v="3"/>
    <n v="1658"/>
    <n v="416"/>
    <n v="98397"/>
    <n v="6.11"/>
    <n v="11383"/>
    <n v="5.5587999999999997"/>
  </r>
  <r>
    <s v="2025-03-17"/>
    <x v="0"/>
    <n v="1102"/>
    <n v="422"/>
    <n v="410330"/>
    <n v="7.74"/>
    <n v="9480"/>
    <n v="5.7156000000000002"/>
  </r>
  <r>
    <s v="2025-03-17"/>
    <x v="1"/>
    <n v="1358"/>
    <n v="242"/>
    <n v="342129"/>
    <n v="4.9400000000000004"/>
    <n v="29116"/>
    <n v="5.6486000000000001"/>
  </r>
  <r>
    <s v="2025-03-17"/>
    <x v="2"/>
    <n v="1077"/>
    <n v="216"/>
    <n v="12447"/>
    <n v="1.8"/>
    <n v="14068"/>
    <n v="5.6558000000000002"/>
  </r>
  <r>
    <s v="2025-03-17"/>
    <x v="3"/>
    <n v="1596"/>
    <n v="211"/>
    <n v="17380"/>
    <n v="8.64"/>
    <n v="35801"/>
    <n v="5.5587999999999997"/>
  </r>
  <r>
    <s v="2025-03-24"/>
    <x v="0"/>
    <n v="490"/>
    <n v="29"/>
    <n v="364810"/>
    <n v="1.53"/>
    <n v="49077"/>
    <n v="5.7156000000000002"/>
  </r>
  <r>
    <s v="2025-03-24"/>
    <x v="1"/>
    <n v="609"/>
    <n v="135"/>
    <n v="373606"/>
    <n v="8.52"/>
    <n v="21453"/>
    <n v="5.6486000000000001"/>
  </r>
  <r>
    <s v="2025-03-24"/>
    <x v="2"/>
    <n v="364"/>
    <n v="72"/>
    <n v="211090"/>
    <n v="5.53"/>
    <n v="21061"/>
    <n v="5.6558000000000002"/>
  </r>
  <r>
    <s v="2025-03-24"/>
    <x v="3"/>
    <n v="442"/>
    <n v="53"/>
    <n v="441931"/>
    <n v="1.87"/>
    <n v="20059"/>
    <n v="5.5587999999999997"/>
  </r>
  <r>
    <s v="2025-03-31"/>
    <x v="0"/>
    <n v="1033"/>
    <n v="392"/>
    <n v="282780"/>
    <n v="6.27"/>
    <n v="23140"/>
    <n v="5.7156000000000002"/>
  </r>
  <r>
    <s v="2025-03-31"/>
    <x v="1"/>
    <n v="988"/>
    <n v="474"/>
    <n v="370070"/>
    <n v="9.4600000000000009"/>
    <n v="23461"/>
    <n v="5.6486000000000001"/>
  </r>
  <r>
    <s v="2025-03-31"/>
    <x v="2"/>
    <n v="1946"/>
    <n v="270"/>
    <n v="198350"/>
    <n v="7.5"/>
    <n v="11805"/>
    <n v="5.6558000000000002"/>
  </r>
  <r>
    <s v="2025-03-31"/>
    <x v="3"/>
    <n v="1957"/>
    <n v="490"/>
    <n v="435726"/>
    <n v="4.7300000000000004"/>
    <n v="15969"/>
    <n v="5.5587999999999997"/>
  </r>
  <r>
    <s v="2025-04-07"/>
    <x v="0"/>
    <n v="559"/>
    <n v="392"/>
    <n v="78789"/>
    <n v="3.19"/>
    <n v="2436"/>
    <n v="5.7156000000000002"/>
  </r>
  <r>
    <s v="2025-04-07"/>
    <x v="1"/>
    <n v="1307"/>
    <n v="278"/>
    <n v="98596"/>
    <n v="2.4900000000000002"/>
    <n v="47603"/>
    <n v="5.6486000000000001"/>
  </r>
  <r>
    <s v="2025-04-07"/>
    <x v="2"/>
    <n v="1432"/>
    <n v="425"/>
    <n v="29589"/>
    <n v="4.5"/>
    <n v="42964"/>
    <n v="5.6558000000000002"/>
  </r>
  <r>
    <s v="2025-04-07"/>
    <x v="3"/>
    <n v="623"/>
    <n v="414"/>
    <n v="290354"/>
    <n v="6.49"/>
    <n v="39923"/>
    <n v="5.5587999999999997"/>
  </r>
  <r>
    <s v="2025-04-14"/>
    <x v="0"/>
    <n v="198"/>
    <n v="358"/>
    <n v="66682"/>
    <n v="6.73"/>
    <n v="2293"/>
    <n v="5.7156000000000002"/>
  </r>
  <r>
    <s v="2025-04-14"/>
    <x v="1"/>
    <n v="198"/>
    <n v="373"/>
    <n v="70707"/>
    <n v="4.83"/>
    <n v="25920"/>
    <n v="5.6486000000000001"/>
  </r>
  <r>
    <s v="2025-04-14"/>
    <x v="2"/>
    <n v="353"/>
    <n v="300"/>
    <n v="142507"/>
    <n v="5.3"/>
    <n v="11035"/>
    <n v="5.6558000000000002"/>
  </r>
  <r>
    <s v="2025-04-14"/>
    <x v="3"/>
    <n v="520"/>
    <n v="375"/>
    <n v="369525"/>
    <n v="6.54"/>
    <n v="20733"/>
    <n v="5.5587999999999997"/>
  </r>
  <r>
    <s v="2025-04-21"/>
    <x v="0"/>
    <n v="961"/>
    <n v="358"/>
    <n v="62942"/>
    <n v="6.8"/>
    <n v="18693"/>
    <n v="5.7156000000000002"/>
  </r>
  <r>
    <s v="2025-04-21"/>
    <x v="1"/>
    <n v="1375"/>
    <n v="330"/>
    <n v="377382"/>
    <n v="2.6"/>
    <n v="7875"/>
    <n v="5.6486000000000001"/>
  </r>
  <r>
    <s v="2025-04-21"/>
    <x v="2"/>
    <n v="1147"/>
    <n v="388"/>
    <n v="333851"/>
    <n v="2.44"/>
    <n v="8471"/>
    <n v="5.6558000000000002"/>
  </r>
  <r>
    <s v="2025-04-21"/>
    <x v="3"/>
    <n v="1707"/>
    <n v="74"/>
    <n v="270958"/>
    <n v="3.09"/>
    <n v="14090"/>
    <n v="5.5587999999999997"/>
  </r>
  <r>
    <s v="2025-04-28"/>
    <x v="0"/>
    <n v="1693"/>
    <n v="154"/>
    <n v="445944"/>
    <n v="5.69"/>
    <n v="14216"/>
    <n v="5.7156000000000002"/>
  </r>
  <r>
    <s v="2025-04-28"/>
    <x v="1"/>
    <n v="833"/>
    <n v="380"/>
    <n v="224830"/>
    <n v="3.86"/>
    <n v="3582"/>
    <n v="5.6486000000000001"/>
  </r>
  <r>
    <s v="2025-04-28"/>
    <x v="2"/>
    <n v="1222"/>
    <n v="274"/>
    <n v="487289"/>
    <n v="3.16"/>
    <n v="32500"/>
    <n v="5.6558000000000002"/>
  </r>
  <r>
    <s v="2025-04-28"/>
    <x v="3"/>
    <n v="777"/>
    <n v="140"/>
    <n v="11435"/>
    <n v="1.6"/>
    <n v="6832"/>
    <n v="5.5587999999999997"/>
  </r>
  <r>
    <s v="2025-05-05"/>
    <x v="0"/>
    <n v="1957"/>
    <n v="76"/>
    <n v="447902"/>
    <n v="6.09"/>
    <n v="33381"/>
    <n v="5.7156000000000002"/>
  </r>
  <r>
    <s v="2025-05-05"/>
    <x v="1"/>
    <n v="405"/>
    <n v="66"/>
    <n v="418696"/>
    <n v="5.59"/>
    <n v="48419"/>
    <n v="5.6486000000000001"/>
  </r>
  <r>
    <s v="2025-05-05"/>
    <x v="2"/>
    <n v="1581"/>
    <n v="71"/>
    <n v="484364"/>
    <n v="3.55"/>
    <n v="16149"/>
    <n v="5.6558000000000002"/>
  </r>
  <r>
    <s v="2025-05-05"/>
    <x v="3"/>
    <n v="1035"/>
    <n v="171"/>
    <n v="148477"/>
    <n v="5.21"/>
    <n v="7541"/>
    <n v="5.5587999999999997"/>
  </r>
  <r>
    <s v="2025-05-12"/>
    <x v="0"/>
    <n v="1765"/>
    <n v="109"/>
    <n v="468301"/>
    <n v="1.82"/>
    <n v="20042"/>
    <n v="5.7156000000000002"/>
  </r>
  <r>
    <s v="2025-05-12"/>
    <x v="1"/>
    <n v="837"/>
    <n v="430"/>
    <n v="364820"/>
    <n v="4"/>
    <n v="49400"/>
    <n v="5.6486000000000001"/>
  </r>
  <r>
    <s v="2025-05-12"/>
    <x v="2"/>
    <n v="337"/>
    <n v="68"/>
    <n v="456298"/>
    <n v="7.57"/>
    <n v="4007"/>
    <n v="5.6558000000000002"/>
  </r>
  <r>
    <s v="2025-05-12"/>
    <x v="3"/>
    <n v="119"/>
    <n v="456"/>
    <n v="82558"/>
    <n v="6.81"/>
    <n v="12174"/>
    <n v="5.55879999999999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024-06-03"/>
    <x v="0"/>
    <n v="1135"/>
    <n v="88"/>
    <n v="344084"/>
    <n v="8.06"/>
    <n v="5904"/>
    <n v="5.7156000000000002"/>
    <n v="1047"/>
  </r>
  <r>
    <s v="2024-06-03"/>
    <x v="1"/>
    <n v="1312"/>
    <n v="310"/>
    <n v="42654"/>
    <n v="4.9800000000000004"/>
    <n v="9566"/>
    <n v="5.6486000000000001"/>
    <n v="1002"/>
  </r>
  <r>
    <s v="2024-06-03"/>
    <x v="2"/>
    <n v="584"/>
    <n v="169"/>
    <n v="146834"/>
    <n v="8.31"/>
    <n v="26752"/>
    <n v="5.6558000000000002"/>
    <n v="415"/>
  </r>
  <r>
    <s v="2024-06-03"/>
    <x v="3"/>
    <n v="1535"/>
    <n v="445"/>
    <n v="395536"/>
    <n v="4.1100000000000003"/>
    <n v="30671"/>
    <n v="5.5587999999999997"/>
    <n v="1090"/>
  </r>
  <r>
    <s v="2024-06-10"/>
    <x v="0"/>
    <n v="656"/>
    <n v="139"/>
    <n v="49157"/>
    <n v="9.0500000000000007"/>
    <n v="9920"/>
    <n v="5.7156000000000002"/>
    <n v="517"/>
  </r>
  <r>
    <s v="2024-06-10"/>
    <x v="1"/>
    <n v="1697"/>
    <n v="414"/>
    <n v="316555"/>
    <n v="2.37"/>
    <n v="7924"/>
    <n v="5.6486000000000001"/>
    <n v="1283"/>
  </r>
  <r>
    <s v="2024-06-10"/>
    <x v="2"/>
    <n v="436"/>
    <n v="250"/>
    <n v="254347"/>
    <n v="4.01"/>
    <n v="8912"/>
    <n v="5.6558000000000002"/>
    <n v="186"/>
  </r>
  <r>
    <s v="2024-06-10"/>
    <x v="3"/>
    <n v="1197"/>
    <n v="203"/>
    <n v="413878"/>
    <n v="3.16"/>
    <n v="21205"/>
    <n v="5.5587999999999997"/>
    <n v="994"/>
  </r>
  <r>
    <s v="2024-06-17"/>
    <x v="0"/>
    <n v="1048"/>
    <n v="155"/>
    <n v="456946"/>
    <n v="2.46"/>
    <n v="11329"/>
    <n v="5.7156000000000002"/>
    <n v="893"/>
  </r>
  <r>
    <s v="2024-06-17"/>
    <x v="1"/>
    <n v="1753"/>
    <n v="371"/>
    <n v="169496"/>
    <n v="8.11"/>
    <n v="46670"/>
    <n v="5.6486000000000001"/>
    <n v="1382"/>
  </r>
  <r>
    <s v="2024-06-17"/>
    <x v="2"/>
    <n v="1335"/>
    <n v="40"/>
    <n v="122732"/>
    <n v="8.19"/>
    <n v="22482"/>
    <n v="5.6558000000000002"/>
    <n v="1295"/>
  </r>
  <r>
    <s v="2024-06-17"/>
    <x v="3"/>
    <n v="403"/>
    <n v="66"/>
    <n v="382851"/>
    <n v="3.49"/>
    <n v="24313"/>
    <n v="5.5587999999999997"/>
    <n v="337"/>
  </r>
  <r>
    <s v="2024-06-24"/>
    <x v="0"/>
    <n v="911"/>
    <n v="282"/>
    <n v="35664"/>
    <n v="6.92"/>
    <n v="18050"/>
    <n v="5.7156000000000002"/>
    <n v="629"/>
  </r>
  <r>
    <s v="2024-06-24"/>
    <x v="1"/>
    <n v="1779"/>
    <n v="109"/>
    <n v="26295"/>
    <n v="9.1199999999999992"/>
    <n v="30635"/>
    <n v="5.6486000000000001"/>
    <n v="1670"/>
  </r>
  <r>
    <s v="2024-06-24"/>
    <x v="2"/>
    <n v="1238"/>
    <n v="403"/>
    <n v="298421"/>
    <n v="3.5"/>
    <n v="31280"/>
    <n v="5.6558000000000002"/>
    <n v="835"/>
  </r>
  <r>
    <s v="2024-06-24"/>
    <x v="3"/>
    <n v="308"/>
    <n v="431"/>
    <n v="426184"/>
    <n v="2.62"/>
    <n v="1783"/>
    <n v="5.5587999999999997"/>
    <n v="-123"/>
  </r>
  <r>
    <s v="2024-07-01"/>
    <x v="0"/>
    <n v="226"/>
    <n v="445"/>
    <n v="419447"/>
    <n v="9.36"/>
    <n v="9566"/>
    <n v="5.7156000000000002"/>
    <n v="-219"/>
  </r>
  <r>
    <s v="2024-07-01"/>
    <x v="1"/>
    <n v="505"/>
    <n v="441"/>
    <n v="220020"/>
    <n v="4.4800000000000004"/>
    <n v="42307"/>
    <n v="5.6486000000000001"/>
    <n v="64"/>
  </r>
  <r>
    <s v="2024-07-01"/>
    <x v="2"/>
    <n v="1420"/>
    <n v="63"/>
    <n v="315305"/>
    <n v="6.19"/>
    <n v="5914"/>
    <n v="5.6558000000000002"/>
    <n v="1357"/>
  </r>
  <r>
    <s v="2024-07-01"/>
    <x v="3"/>
    <n v="144"/>
    <n v="53"/>
    <n v="113678"/>
    <n v="8.7200000000000006"/>
    <n v="30060"/>
    <n v="5.5587999999999997"/>
    <n v="91"/>
  </r>
  <r>
    <s v="2024-07-08"/>
    <x v="0"/>
    <n v="1757"/>
    <n v="85"/>
    <n v="58223"/>
    <n v="8.74"/>
    <n v="22728"/>
    <n v="5.7156000000000002"/>
    <n v="1672"/>
  </r>
  <r>
    <s v="2024-07-08"/>
    <x v="1"/>
    <n v="350"/>
    <n v="41"/>
    <n v="251694"/>
    <n v="1.91"/>
    <n v="38610"/>
    <n v="5.6486000000000001"/>
    <n v="309"/>
  </r>
  <r>
    <s v="2024-07-08"/>
    <x v="2"/>
    <n v="987"/>
    <n v="440"/>
    <n v="389810"/>
    <n v="4.66"/>
    <n v="2932"/>
    <n v="5.6558000000000002"/>
    <n v="547"/>
  </r>
  <r>
    <s v="2024-07-08"/>
    <x v="3"/>
    <n v="883"/>
    <n v="369"/>
    <n v="233694"/>
    <n v="2.88"/>
    <n v="15071"/>
    <n v="5.5587999999999997"/>
    <n v="514"/>
  </r>
  <r>
    <s v="2024-07-15"/>
    <x v="0"/>
    <n v="1960"/>
    <n v="115"/>
    <n v="154169"/>
    <n v="3.74"/>
    <n v="10740"/>
    <n v="5.7156000000000002"/>
    <n v="1845"/>
  </r>
  <r>
    <s v="2024-07-15"/>
    <x v="1"/>
    <n v="170"/>
    <n v="334"/>
    <n v="334626"/>
    <n v="6.44"/>
    <n v="43420"/>
    <n v="5.6486000000000001"/>
    <n v="-164"/>
  </r>
  <r>
    <s v="2024-07-15"/>
    <x v="2"/>
    <n v="704"/>
    <n v="275"/>
    <n v="226002"/>
    <n v="8.56"/>
    <n v="32393"/>
    <n v="5.6558000000000002"/>
    <n v="429"/>
  </r>
  <r>
    <s v="2024-07-15"/>
    <x v="3"/>
    <n v="224"/>
    <n v="64"/>
    <n v="156683"/>
    <n v="4.5599999999999996"/>
    <n v="28474"/>
    <n v="5.5587999999999997"/>
    <n v="160"/>
  </r>
  <r>
    <s v="2024-07-22"/>
    <x v="0"/>
    <n v="508"/>
    <n v="349"/>
    <n v="473812"/>
    <n v="7.88"/>
    <n v="17328"/>
    <n v="5.7156000000000002"/>
    <n v="159"/>
  </r>
  <r>
    <s v="2024-07-22"/>
    <x v="1"/>
    <n v="1391"/>
    <n v="430"/>
    <n v="295032"/>
    <n v="7.86"/>
    <n v="26067"/>
    <n v="5.6486000000000001"/>
    <n v="961"/>
  </r>
  <r>
    <s v="2024-07-22"/>
    <x v="2"/>
    <n v="1701"/>
    <n v="385"/>
    <n v="198278"/>
    <n v="5.34"/>
    <n v="32763"/>
    <n v="5.6558000000000002"/>
    <n v="1316"/>
  </r>
  <r>
    <s v="2024-07-22"/>
    <x v="3"/>
    <n v="804"/>
    <n v="487"/>
    <n v="306564"/>
    <n v="5.52"/>
    <n v="26452"/>
    <n v="5.5587999999999997"/>
    <n v="317"/>
  </r>
  <r>
    <s v="2024-07-29"/>
    <x v="0"/>
    <n v="653"/>
    <n v="112"/>
    <n v="23664"/>
    <n v="4.05"/>
    <n v="15353"/>
    <n v="5.7156000000000002"/>
    <n v="541"/>
  </r>
  <r>
    <s v="2024-07-29"/>
    <x v="1"/>
    <n v="160"/>
    <n v="478"/>
    <n v="435034"/>
    <n v="7.73"/>
    <n v="4839"/>
    <n v="5.6486000000000001"/>
    <n v="-318"/>
  </r>
  <r>
    <s v="2024-07-29"/>
    <x v="2"/>
    <n v="1756"/>
    <n v="261"/>
    <n v="287574"/>
    <n v="4.3600000000000003"/>
    <n v="39272"/>
    <n v="5.6558000000000002"/>
    <n v="1495"/>
  </r>
  <r>
    <s v="2024-07-29"/>
    <x v="3"/>
    <n v="576"/>
    <n v="101"/>
    <n v="62499"/>
    <n v="3.48"/>
    <n v="16804"/>
    <n v="5.5587999999999997"/>
    <n v="475"/>
  </r>
  <r>
    <s v="2024-08-05"/>
    <x v="0"/>
    <n v="645"/>
    <n v="293"/>
    <n v="437968"/>
    <n v="7.83"/>
    <n v="49303"/>
    <n v="5.7156000000000002"/>
    <n v="352"/>
  </r>
  <r>
    <s v="2024-08-05"/>
    <x v="1"/>
    <n v="214"/>
    <n v="411"/>
    <n v="125034"/>
    <n v="6.11"/>
    <n v="26455"/>
    <n v="5.6486000000000001"/>
    <n v="-197"/>
  </r>
  <r>
    <s v="2024-08-05"/>
    <x v="2"/>
    <n v="826"/>
    <n v="498"/>
    <n v="449994"/>
    <n v="9.43"/>
    <n v="12384"/>
    <n v="5.6558000000000002"/>
    <n v="328"/>
  </r>
  <r>
    <s v="2024-08-05"/>
    <x v="3"/>
    <n v="460"/>
    <n v="141"/>
    <n v="320650"/>
    <n v="4.04"/>
    <n v="49372"/>
    <n v="5.5587999999999997"/>
    <n v="319"/>
  </r>
  <r>
    <s v="2024-08-12"/>
    <x v="0"/>
    <n v="1528"/>
    <n v="203"/>
    <n v="489188"/>
    <n v="6.23"/>
    <n v="47101"/>
    <n v="5.7156000000000002"/>
    <n v="1325"/>
  </r>
  <r>
    <s v="2024-08-12"/>
    <x v="1"/>
    <n v="1534"/>
    <n v="200"/>
    <n v="307612"/>
    <n v="6.01"/>
    <n v="37903"/>
    <n v="5.6486000000000001"/>
    <n v="1334"/>
  </r>
  <r>
    <s v="2024-08-12"/>
    <x v="2"/>
    <n v="485"/>
    <n v="448"/>
    <n v="434883"/>
    <n v="8.5500000000000007"/>
    <n v="33258"/>
    <n v="5.6558000000000002"/>
    <n v="37"/>
  </r>
  <r>
    <s v="2024-08-12"/>
    <x v="3"/>
    <n v="1210"/>
    <n v="178"/>
    <n v="102042"/>
    <n v="5.42"/>
    <n v="6915"/>
    <n v="5.5587999999999997"/>
    <n v="1032"/>
  </r>
  <r>
    <s v="2024-08-19"/>
    <x v="0"/>
    <n v="215"/>
    <n v="139"/>
    <n v="325444"/>
    <n v="3.25"/>
    <n v="35501"/>
    <n v="5.7156000000000002"/>
    <n v="76"/>
  </r>
  <r>
    <s v="2024-08-19"/>
    <x v="1"/>
    <n v="1078"/>
    <n v="20"/>
    <n v="183924"/>
    <n v="8.84"/>
    <n v="14203"/>
    <n v="5.6486000000000001"/>
    <n v="1058"/>
  </r>
  <r>
    <s v="2024-08-19"/>
    <x v="2"/>
    <n v="1751"/>
    <n v="86"/>
    <n v="188655"/>
    <n v="7.24"/>
    <n v="22206"/>
    <n v="5.6558000000000002"/>
    <n v="1665"/>
  </r>
  <r>
    <s v="2024-08-19"/>
    <x v="3"/>
    <n v="221"/>
    <n v="31"/>
    <n v="87443"/>
    <n v="6.19"/>
    <n v="10283"/>
    <n v="5.5587999999999997"/>
    <n v="190"/>
  </r>
  <r>
    <s v="2024-08-26"/>
    <x v="0"/>
    <n v="1685"/>
    <n v="76"/>
    <n v="453799"/>
    <n v="5.71"/>
    <n v="24913"/>
    <n v="5.7156000000000002"/>
    <n v="1609"/>
  </r>
  <r>
    <s v="2024-08-26"/>
    <x v="1"/>
    <n v="248"/>
    <n v="211"/>
    <n v="379380"/>
    <n v="9.0399999999999991"/>
    <n v="26925"/>
    <n v="5.6486000000000001"/>
    <n v="37"/>
  </r>
  <r>
    <s v="2024-08-26"/>
    <x v="2"/>
    <n v="1300"/>
    <n v="71"/>
    <n v="186454"/>
    <n v="3.91"/>
    <n v="9942"/>
    <n v="5.6558000000000002"/>
    <n v="1229"/>
  </r>
  <r>
    <s v="2024-08-26"/>
    <x v="3"/>
    <n v="422"/>
    <n v="394"/>
    <n v="239044"/>
    <n v="7.83"/>
    <n v="32929"/>
    <n v="5.5587999999999997"/>
    <n v="28"/>
  </r>
  <r>
    <s v="2024-09-02"/>
    <x v="0"/>
    <n v="1429"/>
    <n v="182"/>
    <n v="101332"/>
    <n v="7.16"/>
    <n v="37829"/>
    <n v="5.7156000000000002"/>
    <n v="1247"/>
  </r>
  <r>
    <s v="2024-09-02"/>
    <x v="1"/>
    <n v="1520"/>
    <n v="475"/>
    <n v="496982"/>
    <n v="6.41"/>
    <n v="24384"/>
    <n v="5.6486000000000001"/>
    <n v="1045"/>
  </r>
  <r>
    <s v="2024-09-02"/>
    <x v="2"/>
    <n v="557"/>
    <n v="360"/>
    <n v="318779"/>
    <n v="8.02"/>
    <n v="25797"/>
    <n v="5.6558000000000002"/>
    <n v="197"/>
  </r>
  <r>
    <s v="2024-09-02"/>
    <x v="3"/>
    <n v="728"/>
    <n v="395"/>
    <n v="370971"/>
    <n v="3.86"/>
    <n v="12646"/>
    <n v="5.5587999999999997"/>
    <n v="333"/>
  </r>
  <r>
    <s v="2024-09-09"/>
    <x v="0"/>
    <n v="1592"/>
    <n v="20"/>
    <n v="378054"/>
    <n v="9.09"/>
    <n v="26663"/>
    <n v="5.7156000000000002"/>
    <n v="1572"/>
  </r>
  <r>
    <s v="2024-09-09"/>
    <x v="1"/>
    <n v="1842"/>
    <n v="414"/>
    <n v="307524"/>
    <n v="1.76"/>
    <n v="40478"/>
    <n v="5.6486000000000001"/>
    <n v="1428"/>
  </r>
  <r>
    <s v="2024-09-09"/>
    <x v="2"/>
    <n v="751"/>
    <n v="491"/>
    <n v="434047"/>
    <n v="9.24"/>
    <n v="15476"/>
    <n v="5.6558000000000002"/>
    <n v="260"/>
  </r>
  <r>
    <s v="2024-09-09"/>
    <x v="3"/>
    <n v="1409"/>
    <n v="309"/>
    <n v="64583"/>
    <n v="8.99"/>
    <n v="10217"/>
    <n v="5.5587999999999997"/>
    <n v="1100"/>
  </r>
  <r>
    <s v="2024-09-16"/>
    <x v="0"/>
    <n v="778"/>
    <n v="401"/>
    <n v="50793"/>
    <n v="3.4"/>
    <n v="21939"/>
    <n v="5.7156000000000002"/>
    <n v="377"/>
  </r>
  <r>
    <s v="2024-09-16"/>
    <x v="1"/>
    <n v="443"/>
    <n v="345"/>
    <n v="474162"/>
    <n v="9.1999999999999993"/>
    <n v="47462"/>
    <n v="5.6486000000000001"/>
    <n v="98"/>
  </r>
  <r>
    <s v="2024-09-16"/>
    <x v="2"/>
    <n v="1472"/>
    <n v="347"/>
    <n v="392355"/>
    <n v="8.59"/>
    <n v="30270"/>
    <n v="5.6558000000000002"/>
    <n v="1125"/>
  </r>
  <r>
    <s v="2024-09-16"/>
    <x v="3"/>
    <n v="123"/>
    <n v="155"/>
    <n v="119934"/>
    <n v="3.5"/>
    <n v="5442"/>
    <n v="5.5587999999999997"/>
    <n v="-32"/>
  </r>
  <r>
    <s v="2024-09-23"/>
    <x v="0"/>
    <n v="817"/>
    <n v="151"/>
    <n v="422625"/>
    <n v="2.36"/>
    <n v="1083"/>
    <n v="5.7156000000000002"/>
    <n v="666"/>
  </r>
  <r>
    <s v="2024-09-23"/>
    <x v="1"/>
    <n v="198"/>
    <n v="217"/>
    <n v="239753"/>
    <n v="7.36"/>
    <n v="11901"/>
    <n v="5.6486000000000001"/>
    <n v="-19"/>
  </r>
  <r>
    <s v="2024-09-23"/>
    <x v="2"/>
    <n v="1911"/>
    <n v="231"/>
    <n v="268516"/>
    <n v="8.5500000000000007"/>
    <n v="24018"/>
    <n v="5.6558000000000002"/>
    <n v="1680"/>
  </r>
  <r>
    <s v="2024-09-23"/>
    <x v="3"/>
    <n v="1218"/>
    <n v="212"/>
    <n v="63177"/>
    <n v="8.1300000000000008"/>
    <n v="38883"/>
    <n v="5.5587999999999997"/>
    <n v="1006"/>
  </r>
  <r>
    <s v="2024-09-30"/>
    <x v="0"/>
    <n v="1433"/>
    <n v="408"/>
    <n v="370269"/>
    <n v="3.3"/>
    <n v="30575"/>
    <n v="5.7156000000000002"/>
    <n v="1025"/>
  </r>
  <r>
    <s v="2024-09-30"/>
    <x v="1"/>
    <n v="250"/>
    <n v="429"/>
    <n v="453423"/>
    <n v="1.77"/>
    <n v="2315"/>
    <n v="5.6486000000000001"/>
    <n v="-179"/>
  </r>
  <r>
    <s v="2024-09-30"/>
    <x v="2"/>
    <n v="752"/>
    <n v="153"/>
    <n v="64906"/>
    <n v="2.09"/>
    <n v="12148"/>
    <n v="5.6558000000000002"/>
    <n v="599"/>
  </r>
  <r>
    <s v="2024-09-30"/>
    <x v="3"/>
    <n v="1918"/>
    <n v="212"/>
    <n v="94360"/>
    <n v="7.36"/>
    <n v="36851"/>
    <n v="5.5587999999999997"/>
    <n v="1706"/>
  </r>
  <r>
    <s v="2024-10-07"/>
    <x v="0"/>
    <n v="1939"/>
    <n v="67"/>
    <n v="187183"/>
    <n v="6.25"/>
    <n v="41215"/>
    <n v="5.7156000000000002"/>
    <n v="1872"/>
  </r>
  <r>
    <s v="2024-10-07"/>
    <x v="1"/>
    <n v="1929"/>
    <n v="267"/>
    <n v="379363"/>
    <n v="1.75"/>
    <n v="43836"/>
    <n v="5.6486000000000001"/>
    <n v="1662"/>
  </r>
  <r>
    <s v="2024-10-07"/>
    <x v="2"/>
    <n v="437"/>
    <n v="330"/>
    <n v="476486"/>
    <n v="4.97"/>
    <n v="4509"/>
    <n v="5.6558000000000002"/>
    <n v="107"/>
  </r>
  <r>
    <s v="2024-10-07"/>
    <x v="3"/>
    <n v="307"/>
    <n v="189"/>
    <n v="117767"/>
    <n v="9.3000000000000007"/>
    <n v="27822"/>
    <n v="5.5587999999999997"/>
    <n v="118"/>
  </r>
  <r>
    <s v="2024-10-14"/>
    <x v="0"/>
    <n v="1527"/>
    <n v="303"/>
    <n v="388555"/>
    <n v="8.9"/>
    <n v="36397"/>
    <n v="5.7156000000000002"/>
    <n v="1224"/>
  </r>
  <r>
    <s v="2024-10-14"/>
    <x v="1"/>
    <n v="643"/>
    <n v="358"/>
    <n v="157599"/>
    <n v="3.88"/>
    <n v="7285"/>
    <n v="5.6486000000000001"/>
    <n v="285"/>
  </r>
  <r>
    <s v="2024-10-14"/>
    <x v="2"/>
    <n v="201"/>
    <n v="221"/>
    <n v="309772"/>
    <n v="5.9"/>
    <n v="33174"/>
    <n v="5.6558000000000002"/>
    <n v="-20"/>
  </r>
  <r>
    <s v="2024-10-14"/>
    <x v="3"/>
    <n v="414"/>
    <n v="47"/>
    <n v="199178"/>
    <n v="1.53"/>
    <n v="6742"/>
    <n v="5.5587999999999997"/>
    <n v="367"/>
  </r>
  <r>
    <s v="2024-10-21"/>
    <x v="0"/>
    <n v="703"/>
    <n v="441"/>
    <n v="357089"/>
    <n v="6.5"/>
    <n v="32478"/>
    <n v="5.7156000000000002"/>
    <n v="262"/>
  </r>
  <r>
    <s v="2024-10-21"/>
    <x v="1"/>
    <n v="508"/>
    <n v="69"/>
    <n v="23492"/>
    <n v="3.16"/>
    <n v="42824"/>
    <n v="5.6486000000000001"/>
    <n v="439"/>
  </r>
  <r>
    <s v="2024-10-21"/>
    <x v="2"/>
    <n v="697"/>
    <n v="61"/>
    <n v="258287"/>
    <n v="8.25"/>
    <n v="21208"/>
    <n v="5.6558000000000002"/>
    <n v="636"/>
  </r>
  <r>
    <s v="2024-10-21"/>
    <x v="3"/>
    <n v="1707"/>
    <n v="223"/>
    <n v="256910"/>
    <n v="5.41"/>
    <n v="44321"/>
    <n v="5.5587999999999997"/>
    <n v="1484"/>
  </r>
  <r>
    <s v="2024-10-28"/>
    <x v="0"/>
    <n v="642"/>
    <n v="66"/>
    <n v="346522"/>
    <n v="5.85"/>
    <n v="13116"/>
    <n v="5.7156000000000002"/>
    <n v="576"/>
  </r>
  <r>
    <s v="2024-10-28"/>
    <x v="1"/>
    <n v="859"/>
    <n v="473"/>
    <n v="209987"/>
    <n v="4.46"/>
    <n v="30214"/>
    <n v="5.6486000000000001"/>
    <n v="386"/>
  </r>
  <r>
    <s v="2024-10-28"/>
    <x v="2"/>
    <n v="191"/>
    <n v="154"/>
    <n v="240550"/>
    <n v="5.22"/>
    <n v="15827"/>
    <n v="5.6558000000000002"/>
    <n v="37"/>
  </r>
  <r>
    <s v="2024-10-28"/>
    <x v="3"/>
    <n v="1814"/>
    <n v="157"/>
    <n v="305827"/>
    <n v="1.99"/>
    <n v="46643"/>
    <n v="5.5587999999999997"/>
    <n v="1657"/>
  </r>
  <r>
    <s v="2024-11-04"/>
    <x v="0"/>
    <n v="1466"/>
    <n v="69"/>
    <n v="54935"/>
    <n v="6.85"/>
    <n v="36484"/>
    <n v="5.7156000000000002"/>
    <n v="1397"/>
  </r>
  <r>
    <s v="2024-11-04"/>
    <x v="1"/>
    <n v="947"/>
    <n v="407"/>
    <n v="319186"/>
    <n v="3.32"/>
    <n v="4996"/>
    <n v="5.6486000000000001"/>
    <n v="540"/>
  </r>
  <r>
    <s v="2024-11-04"/>
    <x v="2"/>
    <n v="1821"/>
    <n v="218"/>
    <n v="439080"/>
    <n v="5.68"/>
    <n v="36095"/>
    <n v="5.6558000000000002"/>
    <n v="1603"/>
  </r>
  <r>
    <s v="2024-11-04"/>
    <x v="3"/>
    <n v="1507"/>
    <n v="463"/>
    <n v="258944"/>
    <n v="6.08"/>
    <n v="16443"/>
    <n v="5.5587999999999997"/>
    <n v="1044"/>
  </r>
  <r>
    <s v="2024-11-11"/>
    <x v="0"/>
    <n v="1075"/>
    <n v="173"/>
    <n v="51395"/>
    <n v="4.66"/>
    <n v="47812"/>
    <n v="5.7156000000000002"/>
    <n v="902"/>
  </r>
  <r>
    <s v="2024-11-11"/>
    <x v="1"/>
    <n v="171"/>
    <n v="277"/>
    <n v="309483"/>
    <n v="8.6999999999999993"/>
    <n v="38452"/>
    <n v="5.6486000000000001"/>
    <n v="-106"/>
  </r>
  <r>
    <s v="2024-11-11"/>
    <x v="2"/>
    <n v="1487"/>
    <n v="337"/>
    <n v="87305"/>
    <n v="2.46"/>
    <n v="30428"/>
    <n v="5.6558000000000002"/>
    <n v="1150"/>
  </r>
  <r>
    <s v="2024-11-11"/>
    <x v="3"/>
    <n v="454"/>
    <n v="105"/>
    <n v="121091"/>
    <n v="7.97"/>
    <n v="9269"/>
    <n v="5.5587999999999997"/>
    <n v="349"/>
  </r>
  <r>
    <s v="2024-11-18"/>
    <x v="0"/>
    <n v="187"/>
    <n v="236"/>
    <n v="51087"/>
    <n v="9.41"/>
    <n v="29533"/>
    <n v="5.7156000000000002"/>
    <n v="-49"/>
  </r>
  <r>
    <s v="2024-11-18"/>
    <x v="1"/>
    <n v="513"/>
    <n v="441"/>
    <n v="338847"/>
    <n v="2.68"/>
    <n v="39997"/>
    <n v="5.6486000000000001"/>
    <n v="72"/>
  </r>
  <r>
    <s v="2024-11-18"/>
    <x v="2"/>
    <n v="628"/>
    <n v="183"/>
    <n v="487523"/>
    <n v="7.32"/>
    <n v="5391"/>
    <n v="5.6558000000000002"/>
    <n v="445"/>
  </r>
  <r>
    <s v="2024-11-18"/>
    <x v="3"/>
    <n v="278"/>
    <n v="218"/>
    <n v="301695"/>
    <n v="4.68"/>
    <n v="22373"/>
    <n v="5.5587999999999997"/>
    <n v="60"/>
  </r>
  <r>
    <s v="2024-11-25"/>
    <x v="0"/>
    <n v="1854"/>
    <n v="161"/>
    <n v="282466"/>
    <n v="5.17"/>
    <n v="1810"/>
    <n v="5.7156000000000002"/>
    <n v="1693"/>
  </r>
  <r>
    <s v="2024-11-25"/>
    <x v="1"/>
    <n v="1710"/>
    <n v="378"/>
    <n v="336661"/>
    <n v="6.2"/>
    <n v="28498"/>
    <n v="5.6486000000000001"/>
    <n v="1332"/>
  </r>
  <r>
    <s v="2024-11-25"/>
    <x v="2"/>
    <n v="330"/>
    <n v="232"/>
    <n v="88455"/>
    <n v="2.69"/>
    <n v="39530"/>
    <n v="5.6558000000000002"/>
    <n v="98"/>
  </r>
  <r>
    <s v="2024-11-25"/>
    <x v="3"/>
    <n v="1293"/>
    <n v="408"/>
    <n v="62535"/>
    <n v="8.9"/>
    <n v="37876"/>
    <n v="5.5587999999999997"/>
    <n v="885"/>
  </r>
  <r>
    <s v="2024-12-02"/>
    <x v="0"/>
    <n v="1696"/>
    <n v="71"/>
    <n v="421957"/>
    <n v="3.79"/>
    <n v="36103"/>
    <n v="5.7156000000000002"/>
    <n v="1625"/>
  </r>
  <r>
    <s v="2024-12-02"/>
    <x v="1"/>
    <n v="1902"/>
    <n v="196"/>
    <n v="470269"/>
    <n v="4.79"/>
    <n v="26103"/>
    <n v="5.6486000000000001"/>
    <n v="1706"/>
  </r>
  <r>
    <s v="2024-12-02"/>
    <x v="2"/>
    <n v="1441"/>
    <n v="268"/>
    <n v="309904"/>
    <n v="6.37"/>
    <n v="3455"/>
    <n v="5.6558000000000002"/>
    <n v="1173"/>
  </r>
  <r>
    <s v="2024-12-02"/>
    <x v="3"/>
    <n v="452"/>
    <n v="161"/>
    <n v="221274"/>
    <n v="2.65"/>
    <n v="40888"/>
    <n v="5.5587999999999997"/>
    <n v="291"/>
  </r>
  <r>
    <s v="2024-12-09"/>
    <x v="0"/>
    <n v="1494"/>
    <n v="375"/>
    <n v="220616"/>
    <n v="1.81"/>
    <n v="22724"/>
    <n v="5.7156000000000002"/>
    <n v="1119"/>
  </r>
  <r>
    <s v="2024-12-09"/>
    <x v="1"/>
    <n v="1514"/>
    <n v="141"/>
    <n v="35842"/>
    <n v="7.47"/>
    <n v="18601"/>
    <n v="5.6486000000000001"/>
    <n v="1373"/>
  </r>
  <r>
    <s v="2024-12-09"/>
    <x v="2"/>
    <n v="1937"/>
    <n v="210"/>
    <n v="20607"/>
    <n v="4.2"/>
    <n v="20861"/>
    <n v="5.6558000000000002"/>
    <n v="1727"/>
  </r>
  <r>
    <s v="2024-12-09"/>
    <x v="3"/>
    <n v="736"/>
    <n v="163"/>
    <n v="451894"/>
    <n v="5.43"/>
    <n v="46625"/>
    <n v="5.5587999999999997"/>
    <n v="573"/>
  </r>
  <r>
    <s v="2024-12-16"/>
    <x v="0"/>
    <n v="1502"/>
    <n v="70"/>
    <n v="465553"/>
    <n v="3.32"/>
    <n v="20692"/>
    <n v="5.7156000000000002"/>
    <n v="1432"/>
  </r>
  <r>
    <s v="2024-12-16"/>
    <x v="1"/>
    <n v="1623"/>
    <n v="246"/>
    <n v="415815"/>
    <n v="8.11"/>
    <n v="18656"/>
    <n v="5.6486000000000001"/>
    <n v="1377"/>
  </r>
  <r>
    <s v="2024-12-16"/>
    <x v="2"/>
    <n v="1592"/>
    <n v="233"/>
    <n v="327183"/>
    <n v="6.66"/>
    <n v="13316"/>
    <n v="5.6558000000000002"/>
    <n v="1359"/>
  </r>
  <r>
    <s v="2024-12-16"/>
    <x v="3"/>
    <n v="1004"/>
    <n v="128"/>
    <n v="488901"/>
    <n v="8.09"/>
    <n v="49558"/>
    <n v="5.5587999999999997"/>
    <n v="876"/>
  </r>
  <r>
    <s v="2024-12-23"/>
    <x v="0"/>
    <n v="1092"/>
    <n v="408"/>
    <n v="280795"/>
    <n v="8.44"/>
    <n v="4683"/>
    <n v="5.7156000000000002"/>
    <n v="684"/>
  </r>
  <r>
    <s v="2024-12-23"/>
    <x v="1"/>
    <n v="1155"/>
    <n v="425"/>
    <n v="93347"/>
    <n v="2.02"/>
    <n v="47502"/>
    <n v="5.6486000000000001"/>
    <n v="730"/>
  </r>
  <r>
    <s v="2024-12-23"/>
    <x v="2"/>
    <n v="1137"/>
    <n v="226"/>
    <n v="81119"/>
    <n v="7.74"/>
    <n v="35359"/>
    <n v="5.6558000000000002"/>
    <n v="911"/>
  </r>
  <r>
    <s v="2024-12-23"/>
    <x v="3"/>
    <n v="1900"/>
    <n v="311"/>
    <n v="25177"/>
    <n v="2.89"/>
    <n v="14154"/>
    <n v="5.5587999999999997"/>
    <n v="1589"/>
  </r>
  <r>
    <s v="2024-12-30"/>
    <x v="0"/>
    <n v="1814"/>
    <n v="49"/>
    <n v="140804"/>
    <n v="1.76"/>
    <n v="4313"/>
    <n v="5.7156000000000002"/>
    <n v="1765"/>
  </r>
  <r>
    <s v="2024-12-30"/>
    <x v="1"/>
    <n v="1980"/>
    <n v="204"/>
    <n v="379431"/>
    <n v="3.09"/>
    <n v="25140"/>
    <n v="5.6486000000000001"/>
    <n v="1776"/>
  </r>
  <r>
    <s v="2024-12-30"/>
    <x v="2"/>
    <n v="1786"/>
    <n v="257"/>
    <n v="274831"/>
    <n v="4.68"/>
    <n v="9118"/>
    <n v="5.6558000000000002"/>
    <n v="1529"/>
  </r>
  <r>
    <s v="2024-12-30"/>
    <x v="3"/>
    <n v="1495"/>
    <n v="35"/>
    <n v="136845"/>
    <n v="4.4800000000000004"/>
    <n v="39931"/>
    <n v="5.5587999999999997"/>
    <n v="1460"/>
  </r>
  <r>
    <s v="2025-01-06"/>
    <x v="0"/>
    <n v="1013"/>
    <n v="110"/>
    <n v="466382"/>
    <n v="5.3"/>
    <n v="37132"/>
    <n v="5.7156000000000002"/>
    <n v="903"/>
  </r>
  <r>
    <s v="2025-01-06"/>
    <x v="1"/>
    <n v="816"/>
    <n v="196"/>
    <n v="95728"/>
    <n v="8.1999999999999993"/>
    <n v="17951"/>
    <n v="5.6486000000000001"/>
    <n v="620"/>
  </r>
  <r>
    <s v="2025-01-06"/>
    <x v="2"/>
    <n v="1633"/>
    <n v="445"/>
    <n v="371156"/>
    <n v="2.2200000000000002"/>
    <n v="2798"/>
    <n v="5.6558000000000002"/>
    <n v="1188"/>
  </r>
  <r>
    <s v="2025-01-06"/>
    <x v="3"/>
    <n v="891"/>
    <n v="45"/>
    <n v="95410"/>
    <n v="8.33"/>
    <n v="15045"/>
    <n v="5.5587999999999997"/>
    <n v="846"/>
  </r>
  <r>
    <s v="2025-01-13"/>
    <x v="0"/>
    <n v="1855"/>
    <n v="133"/>
    <n v="349413"/>
    <n v="3.3"/>
    <n v="14548"/>
    <n v="5.7156000000000002"/>
    <n v="1722"/>
  </r>
  <r>
    <s v="2025-01-13"/>
    <x v="1"/>
    <n v="651"/>
    <n v="353"/>
    <n v="224699"/>
    <n v="5.61"/>
    <n v="45708"/>
    <n v="5.6486000000000001"/>
    <n v="298"/>
  </r>
  <r>
    <s v="2025-01-13"/>
    <x v="2"/>
    <n v="118"/>
    <n v="262"/>
    <n v="487896"/>
    <n v="2.56"/>
    <n v="12350"/>
    <n v="5.6558000000000002"/>
    <n v="-144"/>
  </r>
  <r>
    <s v="2025-01-13"/>
    <x v="3"/>
    <n v="1331"/>
    <n v="430"/>
    <n v="14437"/>
    <n v="3.29"/>
    <n v="40868"/>
    <n v="5.5587999999999997"/>
    <n v="901"/>
  </r>
  <r>
    <s v="2025-01-20"/>
    <x v="0"/>
    <n v="1748"/>
    <n v="176"/>
    <n v="383681"/>
    <n v="9.24"/>
    <n v="43122"/>
    <n v="5.7156000000000002"/>
    <n v="1572"/>
  </r>
  <r>
    <s v="2025-01-20"/>
    <x v="1"/>
    <n v="663"/>
    <n v="236"/>
    <n v="479490"/>
    <n v="4.51"/>
    <n v="23853"/>
    <n v="5.6486000000000001"/>
    <n v="427"/>
  </r>
  <r>
    <s v="2025-01-20"/>
    <x v="2"/>
    <n v="1040"/>
    <n v="149"/>
    <n v="124404"/>
    <n v="5.23"/>
    <n v="45380"/>
    <n v="5.6558000000000002"/>
    <n v="891"/>
  </r>
  <r>
    <s v="2025-01-20"/>
    <x v="3"/>
    <n v="1166"/>
    <n v="442"/>
    <n v="336949"/>
    <n v="4.68"/>
    <n v="7705"/>
    <n v="5.5587999999999997"/>
    <n v="724"/>
  </r>
  <r>
    <s v="2025-01-27"/>
    <x v="0"/>
    <n v="115"/>
    <n v="281"/>
    <n v="357265"/>
    <n v="9.23"/>
    <n v="25525"/>
    <n v="5.7156000000000002"/>
    <n v="-166"/>
  </r>
  <r>
    <s v="2025-01-27"/>
    <x v="1"/>
    <n v="1249"/>
    <n v="351"/>
    <n v="321307"/>
    <n v="6.37"/>
    <n v="20560"/>
    <n v="5.6486000000000001"/>
    <n v="898"/>
  </r>
  <r>
    <s v="2025-01-27"/>
    <x v="2"/>
    <n v="1501"/>
    <n v="75"/>
    <n v="262569"/>
    <n v="2.0099999999999998"/>
    <n v="19119"/>
    <n v="5.6558000000000002"/>
    <n v="1426"/>
  </r>
  <r>
    <s v="2025-01-27"/>
    <x v="3"/>
    <n v="1411"/>
    <n v="186"/>
    <n v="461669"/>
    <n v="3.72"/>
    <n v="43999"/>
    <n v="5.5587999999999997"/>
    <n v="1225"/>
  </r>
  <r>
    <s v="2025-02-03"/>
    <x v="0"/>
    <n v="1556"/>
    <n v="476"/>
    <n v="351556"/>
    <n v="3.89"/>
    <n v="10825"/>
    <n v="5.7156000000000002"/>
    <n v="1080"/>
  </r>
  <r>
    <s v="2025-02-03"/>
    <x v="1"/>
    <n v="1159"/>
    <n v="411"/>
    <n v="135987"/>
    <n v="8.6999999999999993"/>
    <n v="40323"/>
    <n v="5.6486000000000001"/>
    <n v="748"/>
  </r>
  <r>
    <s v="2025-02-03"/>
    <x v="2"/>
    <n v="927"/>
    <n v="358"/>
    <n v="177554"/>
    <n v="6.95"/>
    <n v="48270"/>
    <n v="5.6558000000000002"/>
    <n v="569"/>
  </r>
  <r>
    <s v="2025-02-03"/>
    <x v="3"/>
    <n v="152"/>
    <n v="355"/>
    <n v="270766"/>
    <n v="9.48"/>
    <n v="18001"/>
    <n v="5.5587999999999997"/>
    <n v="-203"/>
  </r>
  <r>
    <s v="2025-02-10"/>
    <x v="0"/>
    <n v="1957"/>
    <n v="234"/>
    <n v="222126"/>
    <n v="4.6100000000000003"/>
    <n v="3314"/>
    <n v="5.7156000000000002"/>
    <n v="1723"/>
  </r>
  <r>
    <s v="2025-02-10"/>
    <x v="1"/>
    <n v="1294"/>
    <n v="382"/>
    <n v="309914"/>
    <n v="8.0299999999999994"/>
    <n v="23489"/>
    <n v="5.6486000000000001"/>
    <n v="912"/>
  </r>
  <r>
    <s v="2025-02-10"/>
    <x v="2"/>
    <n v="1587"/>
    <n v="385"/>
    <n v="126582"/>
    <n v="6.99"/>
    <n v="42832"/>
    <n v="5.6558000000000002"/>
    <n v="1202"/>
  </r>
  <r>
    <s v="2025-02-10"/>
    <x v="3"/>
    <n v="1707"/>
    <n v="263"/>
    <n v="485280"/>
    <n v="9.0299999999999994"/>
    <n v="24494"/>
    <n v="5.5587999999999997"/>
    <n v="1444"/>
  </r>
  <r>
    <s v="2025-02-17"/>
    <x v="0"/>
    <n v="1138"/>
    <n v="173"/>
    <n v="453243"/>
    <n v="2.86"/>
    <n v="44097"/>
    <n v="5.7156000000000002"/>
    <n v="965"/>
  </r>
  <r>
    <s v="2025-02-17"/>
    <x v="1"/>
    <n v="1895"/>
    <n v="305"/>
    <n v="104967"/>
    <n v="3.85"/>
    <n v="31853"/>
    <n v="5.6486000000000001"/>
    <n v="1590"/>
  </r>
  <r>
    <s v="2025-02-17"/>
    <x v="2"/>
    <n v="362"/>
    <n v="399"/>
    <n v="145608"/>
    <n v="7.3"/>
    <n v="37636"/>
    <n v="5.6558000000000002"/>
    <n v="-37"/>
  </r>
  <r>
    <s v="2025-02-17"/>
    <x v="3"/>
    <n v="1662"/>
    <n v="487"/>
    <n v="105980"/>
    <n v="9.08"/>
    <n v="22996"/>
    <n v="5.5587999999999997"/>
    <n v="1175"/>
  </r>
  <r>
    <s v="2025-02-24"/>
    <x v="0"/>
    <n v="1440"/>
    <n v="65"/>
    <n v="126524"/>
    <n v="4.34"/>
    <n v="49772"/>
    <n v="5.7156000000000002"/>
    <n v="1375"/>
  </r>
  <r>
    <s v="2025-02-24"/>
    <x v="1"/>
    <n v="1884"/>
    <n v="177"/>
    <n v="230448"/>
    <n v="7.8"/>
    <n v="22713"/>
    <n v="5.6486000000000001"/>
    <n v="1707"/>
  </r>
  <r>
    <s v="2025-02-24"/>
    <x v="2"/>
    <n v="861"/>
    <n v="153"/>
    <n v="317007"/>
    <n v="3.85"/>
    <n v="8718"/>
    <n v="5.6558000000000002"/>
    <n v="708"/>
  </r>
  <r>
    <s v="2025-02-24"/>
    <x v="3"/>
    <n v="1063"/>
    <n v="47"/>
    <n v="464239"/>
    <n v="6.58"/>
    <n v="39031"/>
    <n v="5.5587999999999997"/>
    <n v="1016"/>
  </r>
  <r>
    <s v="2025-03-03"/>
    <x v="0"/>
    <n v="1371"/>
    <n v="56"/>
    <n v="257579"/>
    <n v="8.6199999999999992"/>
    <n v="33799"/>
    <n v="5.7156000000000002"/>
    <n v="1315"/>
  </r>
  <r>
    <s v="2025-03-03"/>
    <x v="1"/>
    <n v="345"/>
    <n v="464"/>
    <n v="366881"/>
    <n v="4.55"/>
    <n v="20553"/>
    <n v="5.6486000000000001"/>
    <n v="-119"/>
  </r>
  <r>
    <s v="2025-03-03"/>
    <x v="2"/>
    <n v="946"/>
    <n v="47"/>
    <n v="466575"/>
    <n v="8.33"/>
    <n v="10002"/>
    <n v="5.6558000000000002"/>
    <n v="899"/>
  </r>
  <r>
    <s v="2025-03-03"/>
    <x v="3"/>
    <n v="510"/>
    <n v="195"/>
    <n v="224534"/>
    <n v="9.4"/>
    <n v="30987"/>
    <n v="5.5587999999999997"/>
    <n v="315"/>
  </r>
  <r>
    <s v="2025-03-10"/>
    <x v="0"/>
    <n v="393"/>
    <n v="181"/>
    <n v="462142"/>
    <n v="7.23"/>
    <n v="6296"/>
    <n v="5.7156000000000002"/>
    <n v="212"/>
  </r>
  <r>
    <s v="2025-03-10"/>
    <x v="1"/>
    <n v="1098"/>
    <n v="190"/>
    <n v="340842"/>
    <n v="9.39"/>
    <n v="21539"/>
    <n v="5.6486000000000001"/>
    <n v="908"/>
  </r>
  <r>
    <s v="2025-03-10"/>
    <x v="2"/>
    <n v="1399"/>
    <n v="49"/>
    <n v="12471"/>
    <n v="5.12"/>
    <n v="14722"/>
    <n v="5.6558000000000002"/>
    <n v="1350"/>
  </r>
  <r>
    <s v="2025-03-10"/>
    <x v="3"/>
    <n v="1658"/>
    <n v="416"/>
    <n v="98397"/>
    <n v="6.11"/>
    <n v="11383"/>
    <n v="5.5587999999999997"/>
    <n v="1242"/>
  </r>
  <r>
    <s v="2025-03-17"/>
    <x v="0"/>
    <n v="1102"/>
    <n v="422"/>
    <n v="410330"/>
    <n v="7.74"/>
    <n v="9480"/>
    <n v="5.7156000000000002"/>
    <n v="680"/>
  </r>
  <r>
    <s v="2025-03-17"/>
    <x v="1"/>
    <n v="1358"/>
    <n v="242"/>
    <n v="342129"/>
    <n v="4.9400000000000004"/>
    <n v="29116"/>
    <n v="5.6486000000000001"/>
    <n v="1116"/>
  </r>
  <r>
    <s v="2025-03-17"/>
    <x v="2"/>
    <n v="1077"/>
    <n v="216"/>
    <n v="12447"/>
    <n v="1.8"/>
    <n v="14068"/>
    <n v="5.6558000000000002"/>
    <n v="861"/>
  </r>
  <r>
    <s v="2025-03-17"/>
    <x v="3"/>
    <n v="1596"/>
    <n v="211"/>
    <n v="17380"/>
    <n v="8.64"/>
    <n v="35801"/>
    <n v="5.5587999999999997"/>
    <n v="1385"/>
  </r>
  <r>
    <s v="2025-03-24"/>
    <x v="0"/>
    <n v="490"/>
    <n v="29"/>
    <n v="364810"/>
    <n v="1.53"/>
    <n v="49077"/>
    <n v="5.7156000000000002"/>
    <n v="461"/>
  </r>
  <r>
    <s v="2025-03-24"/>
    <x v="1"/>
    <n v="609"/>
    <n v="135"/>
    <n v="373606"/>
    <n v="8.52"/>
    <n v="21453"/>
    <n v="5.6486000000000001"/>
    <n v="474"/>
  </r>
  <r>
    <s v="2025-03-24"/>
    <x v="2"/>
    <n v="364"/>
    <n v="72"/>
    <n v="211090"/>
    <n v="5.53"/>
    <n v="21061"/>
    <n v="5.6558000000000002"/>
    <n v="292"/>
  </r>
  <r>
    <s v="2025-03-24"/>
    <x v="3"/>
    <n v="442"/>
    <n v="53"/>
    <n v="441931"/>
    <n v="1.87"/>
    <n v="20059"/>
    <n v="5.5587999999999997"/>
    <n v="389"/>
  </r>
  <r>
    <s v="2025-03-31"/>
    <x v="0"/>
    <n v="1033"/>
    <n v="392"/>
    <n v="282780"/>
    <n v="6.27"/>
    <n v="23140"/>
    <n v="5.7156000000000002"/>
    <n v="641"/>
  </r>
  <r>
    <s v="2025-03-31"/>
    <x v="1"/>
    <n v="988"/>
    <n v="474"/>
    <n v="370070"/>
    <n v="9.4600000000000009"/>
    <n v="23461"/>
    <n v="5.6486000000000001"/>
    <n v="514"/>
  </r>
  <r>
    <s v="2025-03-31"/>
    <x v="2"/>
    <n v="1946"/>
    <n v="270"/>
    <n v="198350"/>
    <n v="7.5"/>
    <n v="11805"/>
    <n v="5.6558000000000002"/>
    <n v="1676"/>
  </r>
  <r>
    <s v="2025-03-31"/>
    <x v="3"/>
    <n v="1957"/>
    <n v="490"/>
    <n v="435726"/>
    <n v="4.7300000000000004"/>
    <n v="15969"/>
    <n v="5.5587999999999997"/>
    <n v="1467"/>
  </r>
  <r>
    <s v="2025-04-07"/>
    <x v="0"/>
    <n v="559"/>
    <n v="392"/>
    <n v="78789"/>
    <n v="3.19"/>
    <n v="2436"/>
    <n v="5.7156000000000002"/>
    <n v="167"/>
  </r>
  <r>
    <s v="2025-04-07"/>
    <x v="1"/>
    <n v="1307"/>
    <n v="278"/>
    <n v="98596"/>
    <n v="2.4900000000000002"/>
    <n v="47603"/>
    <n v="5.6486000000000001"/>
    <n v="1029"/>
  </r>
  <r>
    <s v="2025-04-07"/>
    <x v="2"/>
    <n v="1432"/>
    <n v="425"/>
    <n v="29589"/>
    <n v="4.5"/>
    <n v="42964"/>
    <n v="5.6558000000000002"/>
    <n v="1007"/>
  </r>
  <r>
    <s v="2025-04-07"/>
    <x v="3"/>
    <n v="623"/>
    <n v="414"/>
    <n v="290354"/>
    <n v="6.49"/>
    <n v="39923"/>
    <n v="5.5587999999999997"/>
    <n v="209"/>
  </r>
  <r>
    <s v="2025-04-14"/>
    <x v="0"/>
    <n v="198"/>
    <n v="358"/>
    <n v="66682"/>
    <n v="6.73"/>
    <n v="2293"/>
    <n v="5.7156000000000002"/>
    <n v="-160"/>
  </r>
  <r>
    <s v="2025-04-14"/>
    <x v="1"/>
    <n v="198"/>
    <n v="373"/>
    <n v="70707"/>
    <n v="4.83"/>
    <n v="25920"/>
    <n v="5.6486000000000001"/>
    <n v="-175"/>
  </r>
  <r>
    <s v="2025-04-14"/>
    <x v="2"/>
    <n v="353"/>
    <n v="300"/>
    <n v="142507"/>
    <n v="5.3"/>
    <n v="11035"/>
    <n v="5.6558000000000002"/>
    <n v="53"/>
  </r>
  <r>
    <s v="2025-04-14"/>
    <x v="3"/>
    <n v="520"/>
    <n v="375"/>
    <n v="369525"/>
    <n v="6.54"/>
    <n v="20733"/>
    <n v="5.5587999999999997"/>
    <n v="145"/>
  </r>
  <r>
    <s v="2025-04-21"/>
    <x v="0"/>
    <n v="961"/>
    <n v="358"/>
    <n v="62942"/>
    <n v="6.8"/>
    <n v="18693"/>
    <n v="5.7156000000000002"/>
    <n v="603"/>
  </r>
  <r>
    <s v="2025-04-21"/>
    <x v="1"/>
    <n v="1375"/>
    <n v="330"/>
    <n v="377382"/>
    <n v="2.6"/>
    <n v="7875"/>
    <n v="5.6486000000000001"/>
    <n v="1045"/>
  </r>
  <r>
    <s v="2025-04-21"/>
    <x v="2"/>
    <n v="1147"/>
    <n v="388"/>
    <n v="333851"/>
    <n v="2.44"/>
    <n v="8471"/>
    <n v="5.6558000000000002"/>
    <n v="759"/>
  </r>
  <r>
    <s v="2025-04-21"/>
    <x v="3"/>
    <n v="1707"/>
    <n v="74"/>
    <n v="270958"/>
    <n v="3.09"/>
    <n v="14090"/>
    <n v="5.5587999999999997"/>
    <n v="1633"/>
  </r>
  <r>
    <s v="2025-04-28"/>
    <x v="0"/>
    <n v="1693"/>
    <n v="154"/>
    <n v="445944"/>
    <n v="5.69"/>
    <n v="14216"/>
    <n v="5.7156000000000002"/>
    <n v="1539"/>
  </r>
  <r>
    <s v="2025-04-28"/>
    <x v="1"/>
    <n v="833"/>
    <n v="380"/>
    <n v="224830"/>
    <n v="3.86"/>
    <n v="3582"/>
    <n v="5.6486000000000001"/>
    <n v="453"/>
  </r>
  <r>
    <s v="2025-04-28"/>
    <x v="2"/>
    <n v="1222"/>
    <n v="274"/>
    <n v="487289"/>
    <n v="3.16"/>
    <n v="32500"/>
    <n v="5.6558000000000002"/>
    <n v="948"/>
  </r>
  <r>
    <s v="2025-04-28"/>
    <x v="3"/>
    <n v="777"/>
    <n v="140"/>
    <n v="11435"/>
    <n v="1.6"/>
    <n v="6832"/>
    <n v="5.5587999999999997"/>
    <n v="637"/>
  </r>
  <r>
    <s v="2025-05-05"/>
    <x v="0"/>
    <n v="1957"/>
    <n v="76"/>
    <n v="447902"/>
    <n v="6.09"/>
    <n v="33381"/>
    <n v="5.7156000000000002"/>
    <n v="1881"/>
  </r>
  <r>
    <s v="2025-05-05"/>
    <x v="1"/>
    <n v="405"/>
    <n v="66"/>
    <n v="418696"/>
    <n v="5.59"/>
    <n v="48419"/>
    <n v="5.6486000000000001"/>
    <n v="339"/>
  </r>
  <r>
    <s v="2025-05-05"/>
    <x v="2"/>
    <n v="1581"/>
    <n v="71"/>
    <n v="484364"/>
    <n v="3.55"/>
    <n v="16149"/>
    <n v="5.6558000000000002"/>
    <n v="1510"/>
  </r>
  <r>
    <s v="2025-05-05"/>
    <x v="3"/>
    <n v="1035"/>
    <n v="171"/>
    <n v="148477"/>
    <n v="5.21"/>
    <n v="7541"/>
    <n v="5.5587999999999997"/>
    <n v="864"/>
  </r>
  <r>
    <s v="2025-05-12"/>
    <x v="0"/>
    <n v="1765"/>
    <n v="109"/>
    <n v="468301"/>
    <n v="1.82"/>
    <n v="20042"/>
    <n v="5.7156000000000002"/>
    <n v="1656"/>
  </r>
  <r>
    <s v="2025-05-12"/>
    <x v="1"/>
    <n v="837"/>
    <n v="430"/>
    <n v="364820"/>
    <n v="4"/>
    <n v="49400"/>
    <n v="5.6486000000000001"/>
    <n v="407"/>
  </r>
  <r>
    <s v="2025-05-12"/>
    <x v="2"/>
    <n v="337"/>
    <n v="68"/>
    <n v="456298"/>
    <n v="7.57"/>
    <n v="4007"/>
    <n v="5.6558000000000002"/>
    <n v="269"/>
  </r>
  <r>
    <s v="2025-05-12"/>
    <x v="3"/>
    <n v="119"/>
    <n v="456"/>
    <n v="82558"/>
    <n v="6.81"/>
    <n v="12174"/>
    <n v="5.5587999999999997"/>
    <n v="-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318346-A34E-40BE-B8B0-A50E24D9731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64" showAll="0"/>
  </pivotFields>
  <rowFields count="1">
    <field x="1"/>
  </rowFields>
  <rowItems count="5">
    <i>
      <x v="1"/>
    </i>
    <i>
      <x v="2"/>
    </i>
    <i>
      <x/>
    </i>
    <i>
      <x v="3"/>
    </i>
    <i t="grand">
      <x/>
    </i>
  </rowItems>
  <colItems count="1">
    <i/>
  </colItems>
  <dataFields count="1">
    <dataField name="Sum of AVERAGE" fld="7" baseField="0" baseItem="0" numFmtId="164"/>
  </dataFields>
  <conditionalFormats count="1">
    <conditionalFormat priority="1">
      <pivotAreas count="1">
        <pivotArea type="data" collapsedLevelsAreSubtotals="1" fieldPosition="0">
          <references count="2">
            <reference field="4294967294" count="1" selected="0">
              <x v="0"/>
            </reference>
            <reference field="1"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7D83B1-2668-45B6-9075-6F185B40CBD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9">
    <pivotField showAll="0"/>
    <pivotField axis="axisRow" showAll="0">
      <items count="5">
        <item x="1"/>
        <item x="0"/>
        <item x="2"/>
        <item x="3"/>
        <item t="default"/>
      </items>
    </pivotField>
    <pivotField showAll="0"/>
    <pivotField showAll="0"/>
    <pivotField showAll="0"/>
    <pivotField showAll="0"/>
    <pivotField showAll="0"/>
    <pivotField numFmtId="164" showAll="0"/>
    <pivotField dataField="1" showAll="0"/>
  </pivotFields>
  <rowFields count="1">
    <field x="1"/>
  </rowFields>
  <rowItems count="5">
    <i>
      <x/>
    </i>
    <i>
      <x v="1"/>
    </i>
    <i>
      <x v="2"/>
    </i>
    <i>
      <x v="3"/>
    </i>
    <i t="grand">
      <x/>
    </i>
  </rowItems>
  <colItems count="1">
    <i/>
  </colItems>
  <dataFields count="1">
    <dataField name="Sum of growth rate of followers" fld="8" baseField="0" baseItem="0"/>
  </dataFields>
  <formats count="2">
    <format dxfId="1">
      <pivotArea collapsedLevelsAreSubtotals="1" fieldPosition="0">
        <references count="1">
          <reference field="1" count="1">
            <x v="1"/>
          </reference>
        </references>
      </pivotArea>
    </format>
    <format dxfId="0">
      <pivotArea collapsedLevelsAreSubtotals="1" fieldPosition="0">
        <references count="1">
          <reference field="1" count="1">
            <x v="1"/>
          </reference>
        </references>
      </pivotArea>
    </format>
  </formats>
  <conditionalFormats count="1">
    <conditionalFormat priority="1">
      <pivotAreas count="1">
        <pivotArea type="data" collapsedLevelsAreSubtotals="1" fieldPosition="0">
          <references count="2">
            <reference field="4294967294" count="1" selected="0">
              <x v="0"/>
            </reference>
            <reference field="1"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I1000"/>
  <sheetViews>
    <sheetView workbookViewId="0">
      <selection activeCell="D6" sqref="D6"/>
    </sheetView>
  </sheetViews>
  <sheetFormatPr defaultColWidth="21.5703125" defaultRowHeight="15" customHeight="1" x14ac:dyDescent="0.25"/>
  <cols>
    <col min="9" max="9" width="14.5703125" customWidth="1"/>
  </cols>
  <sheetData>
    <row r="1" spans="1:9" ht="30" customHeight="1" x14ac:dyDescent="0.25">
      <c r="A1" s="8" t="s">
        <v>37</v>
      </c>
      <c r="B1" s="8" t="s">
        <v>0</v>
      </c>
      <c r="C1" s="9" t="s">
        <v>38</v>
      </c>
      <c r="D1" s="8" t="s">
        <v>39</v>
      </c>
      <c r="E1" s="9" t="s">
        <v>40</v>
      </c>
      <c r="F1" s="9" t="s">
        <v>41</v>
      </c>
      <c r="G1" s="9" t="s">
        <v>42</v>
      </c>
      <c r="H1" s="5" t="s">
        <v>64</v>
      </c>
      <c r="I1" s="6" t="s">
        <v>66</v>
      </c>
    </row>
    <row r="2" spans="1:9" ht="14.25" customHeight="1" x14ac:dyDescent="0.25">
      <c r="A2" s="1" t="s">
        <v>27</v>
      </c>
      <c r="B2" s="1" t="s">
        <v>5</v>
      </c>
      <c r="C2" s="1">
        <v>1135</v>
      </c>
      <c r="D2" s="1">
        <v>88</v>
      </c>
      <c r="E2" s="1">
        <v>344084</v>
      </c>
      <c r="F2" s="1">
        <v>8.06</v>
      </c>
      <c r="G2" s="1">
        <v>5904</v>
      </c>
      <c r="H2" s="4">
        <f>AVERAGEIF(B:B,B2,F:F)</f>
        <v>5.7156000000000002</v>
      </c>
      <c r="I2">
        <f>C2-D2</f>
        <v>1047</v>
      </c>
    </row>
    <row r="3" spans="1:9" ht="14.25" customHeight="1" x14ac:dyDescent="0.25">
      <c r="A3" s="1" t="s">
        <v>27</v>
      </c>
      <c r="B3" s="1" t="s">
        <v>7</v>
      </c>
      <c r="C3" s="1">
        <v>1312</v>
      </c>
      <c r="D3" s="1">
        <v>310</v>
      </c>
      <c r="E3" s="1">
        <v>42654</v>
      </c>
      <c r="F3" s="1">
        <v>4.9800000000000004</v>
      </c>
      <c r="G3" s="1">
        <v>9566</v>
      </c>
      <c r="H3" s="4">
        <f t="shared" ref="H3:H66" si="0">AVERAGEIF(B:B,B3,F:F)</f>
        <v>5.6486000000000001</v>
      </c>
      <c r="I3">
        <f t="shared" ref="I3:I66" si="1">C3-D3</f>
        <v>1002</v>
      </c>
    </row>
    <row r="4" spans="1:9" ht="14.25" customHeight="1" x14ac:dyDescent="0.25">
      <c r="A4" s="1" t="s">
        <v>27</v>
      </c>
      <c r="B4" s="1" t="s">
        <v>1</v>
      </c>
      <c r="C4" s="1">
        <v>584</v>
      </c>
      <c r="D4" s="1">
        <v>169</v>
      </c>
      <c r="E4" s="1">
        <v>146834</v>
      </c>
      <c r="F4" s="1">
        <v>8.31</v>
      </c>
      <c r="G4" s="1">
        <v>26752</v>
      </c>
      <c r="H4" s="4">
        <f t="shared" si="0"/>
        <v>5.6558000000000002</v>
      </c>
      <c r="I4">
        <f t="shared" si="1"/>
        <v>415</v>
      </c>
    </row>
    <row r="5" spans="1:9" ht="14.25" customHeight="1" x14ac:dyDescent="0.25">
      <c r="A5" s="1" t="s">
        <v>27</v>
      </c>
      <c r="B5" s="1" t="s">
        <v>3</v>
      </c>
      <c r="C5" s="1">
        <v>1535</v>
      </c>
      <c r="D5" s="1">
        <v>445</v>
      </c>
      <c r="E5" s="1">
        <v>395536</v>
      </c>
      <c r="F5" s="1">
        <v>4.1100000000000003</v>
      </c>
      <c r="G5" s="1">
        <v>30671</v>
      </c>
      <c r="H5" s="4">
        <f t="shared" si="0"/>
        <v>5.5587999999999997</v>
      </c>
      <c r="I5">
        <f t="shared" si="1"/>
        <v>1090</v>
      </c>
    </row>
    <row r="6" spans="1:9" ht="14.25" customHeight="1" x14ac:dyDescent="0.25">
      <c r="A6" s="1" t="s">
        <v>19</v>
      </c>
      <c r="B6" s="1" t="s">
        <v>5</v>
      </c>
      <c r="C6" s="1">
        <v>656</v>
      </c>
      <c r="D6" s="1">
        <v>139</v>
      </c>
      <c r="E6" s="1">
        <v>49157</v>
      </c>
      <c r="F6" s="1">
        <v>9.0500000000000007</v>
      </c>
      <c r="G6" s="1">
        <v>9920</v>
      </c>
      <c r="H6" s="4">
        <f t="shared" si="0"/>
        <v>5.7156000000000002</v>
      </c>
      <c r="I6">
        <f t="shared" si="1"/>
        <v>517</v>
      </c>
    </row>
    <row r="7" spans="1:9" ht="14.25" customHeight="1" x14ac:dyDescent="0.25">
      <c r="A7" s="1" t="s">
        <v>19</v>
      </c>
      <c r="B7" s="1" t="s">
        <v>7</v>
      </c>
      <c r="C7" s="1">
        <v>1697</v>
      </c>
      <c r="D7" s="1">
        <v>414</v>
      </c>
      <c r="E7" s="1">
        <v>316555</v>
      </c>
      <c r="F7" s="1">
        <v>2.37</v>
      </c>
      <c r="G7" s="1">
        <v>7924</v>
      </c>
      <c r="H7" s="4">
        <f t="shared" si="0"/>
        <v>5.6486000000000001</v>
      </c>
      <c r="I7">
        <f t="shared" si="1"/>
        <v>1283</v>
      </c>
    </row>
    <row r="8" spans="1:9" ht="14.25" customHeight="1" x14ac:dyDescent="0.25">
      <c r="A8" s="1" t="s">
        <v>19</v>
      </c>
      <c r="B8" s="1" t="s">
        <v>1</v>
      </c>
      <c r="C8" s="1">
        <v>436</v>
      </c>
      <c r="D8" s="1">
        <v>250</v>
      </c>
      <c r="E8" s="1">
        <v>254347</v>
      </c>
      <c r="F8" s="1">
        <v>4.01</v>
      </c>
      <c r="G8" s="1">
        <v>8912</v>
      </c>
      <c r="H8" s="4">
        <f t="shared" si="0"/>
        <v>5.6558000000000002</v>
      </c>
      <c r="I8">
        <f t="shared" si="1"/>
        <v>186</v>
      </c>
    </row>
    <row r="9" spans="1:9" ht="14.25" customHeight="1" x14ac:dyDescent="0.25">
      <c r="A9" s="1" t="s">
        <v>19</v>
      </c>
      <c r="B9" s="1" t="s">
        <v>3</v>
      </c>
      <c r="C9" s="1">
        <v>1197</v>
      </c>
      <c r="D9" s="1">
        <v>203</v>
      </c>
      <c r="E9" s="1">
        <v>413878</v>
      </c>
      <c r="F9" s="1">
        <v>3.16</v>
      </c>
      <c r="G9" s="1">
        <v>21205</v>
      </c>
      <c r="H9" s="4">
        <f t="shared" si="0"/>
        <v>5.5587999999999997</v>
      </c>
      <c r="I9">
        <f t="shared" si="1"/>
        <v>994</v>
      </c>
    </row>
    <row r="10" spans="1:9" ht="14.25" customHeight="1" x14ac:dyDescent="0.25">
      <c r="A10" s="1" t="s">
        <v>20</v>
      </c>
      <c r="B10" s="1" t="s">
        <v>5</v>
      </c>
      <c r="C10" s="1">
        <v>1048</v>
      </c>
      <c r="D10" s="1">
        <v>155</v>
      </c>
      <c r="E10" s="1">
        <v>456946</v>
      </c>
      <c r="F10" s="1">
        <v>2.46</v>
      </c>
      <c r="G10" s="1">
        <v>11329</v>
      </c>
      <c r="H10" s="4">
        <f t="shared" si="0"/>
        <v>5.7156000000000002</v>
      </c>
      <c r="I10">
        <f t="shared" si="1"/>
        <v>893</v>
      </c>
    </row>
    <row r="11" spans="1:9" ht="14.25" customHeight="1" x14ac:dyDescent="0.25">
      <c r="A11" s="1" t="s">
        <v>20</v>
      </c>
      <c r="B11" s="1" t="s">
        <v>7</v>
      </c>
      <c r="C11" s="1">
        <v>1753</v>
      </c>
      <c r="D11" s="1">
        <v>371</v>
      </c>
      <c r="E11" s="1">
        <v>169496</v>
      </c>
      <c r="F11" s="1">
        <v>8.11</v>
      </c>
      <c r="G11" s="1">
        <v>46670</v>
      </c>
      <c r="H11" s="4">
        <f t="shared" si="0"/>
        <v>5.6486000000000001</v>
      </c>
      <c r="I11">
        <f t="shared" si="1"/>
        <v>1382</v>
      </c>
    </row>
    <row r="12" spans="1:9" ht="14.25" customHeight="1" x14ac:dyDescent="0.25">
      <c r="A12" s="1" t="s">
        <v>20</v>
      </c>
      <c r="B12" s="1" t="s">
        <v>1</v>
      </c>
      <c r="C12" s="1">
        <v>1335</v>
      </c>
      <c r="D12" s="1">
        <v>40</v>
      </c>
      <c r="E12" s="1">
        <v>122732</v>
      </c>
      <c r="F12" s="1">
        <v>8.19</v>
      </c>
      <c r="G12" s="1">
        <v>22482</v>
      </c>
      <c r="H12" s="4">
        <f t="shared" si="0"/>
        <v>5.6558000000000002</v>
      </c>
      <c r="I12">
        <f t="shared" si="1"/>
        <v>1295</v>
      </c>
    </row>
    <row r="13" spans="1:9" ht="14.25" customHeight="1" x14ac:dyDescent="0.25">
      <c r="A13" s="1" t="s">
        <v>20</v>
      </c>
      <c r="B13" s="1" t="s">
        <v>3</v>
      </c>
      <c r="C13" s="1">
        <v>403</v>
      </c>
      <c r="D13" s="1">
        <v>66</v>
      </c>
      <c r="E13" s="1">
        <v>382851</v>
      </c>
      <c r="F13" s="1">
        <v>3.49</v>
      </c>
      <c r="G13" s="1">
        <v>24313</v>
      </c>
      <c r="H13" s="4">
        <f t="shared" si="0"/>
        <v>5.5587999999999997</v>
      </c>
      <c r="I13">
        <f t="shared" si="1"/>
        <v>337</v>
      </c>
    </row>
    <row r="14" spans="1:9" ht="14.25" customHeight="1" x14ac:dyDescent="0.25">
      <c r="A14" s="1" t="s">
        <v>8</v>
      </c>
      <c r="B14" s="1" t="s">
        <v>5</v>
      </c>
      <c r="C14" s="1">
        <v>911</v>
      </c>
      <c r="D14" s="1">
        <v>282</v>
      </c>
      <c r="E14" s="1">
        <v>35664</v>
      </c>
      <c r="F14" s="1">
        <v>6.92</v>
      </c>
      <c r="G14" s="1">
        <v>18050</v>
      </c>
      <c r="H14" s="4">
        <f t="shared" si="0"/>
        <v>5.7156000000000002</v>
      </c>
      <c r="I14">
        <f t="shared" si="1"/>
        <v>629</v>
      </c>
    </row>
    <row r="15" spans="1:9" ht="14.25" customHeight="1" x14ac:dyDescent="0.25">
      <c r="A15" s="1" t="s">
        <v>8</v>
      </c>
      <c r="B15" s="1" t="s">
        <v>7</v>
      </c>
      <c r="C15" s="1">
        <v>1779</v>
      </c>
      <c r="D15" s="1">
        <v>109</v>
      </c>
      <c r="E15" s="1">
        <v>26295</v>
      </c>
      <c r="F15" s="1">
        <v>9.1199999999999992</v>
      </c>
      <c r="G15" s="1">
        <v>30635</v>
      </c>
      <c r="H15" s="4">
        <f t="shared" si="0"/>
        <v>5.6486000000000001</v>
      </c>
      <c r="I15">
        <f t="shared" si="1"/>
        <v>1670</v>
      </c>
    </row>
    <row r="16" spans="1:9" ht="14.25" customHeight="1" x14ac:dyDescent="0.25">
      <c r="A16" s="1" t="s">
        <v>8</v>
      </c>
      <c r="B16" s="1" t="s">
        <v>1</v>
      </c>
      <c r="C16" s="1">
        <v>1238</v>
      </c>
      <c r="D16" s="1">
        <v>403</v>
      </c>
      <c r="E16" s="1">
        <v>298421</v>
      </c>
      <c r="F16" s="1">
        <v>3.5</v>
      </c>
      <c r="G16" s="1">
        <v>31280</v>
      </c>
      <c r="H16" s="4">
        <f t="shared" si="0"/>
        <v>5.6558000000000002</v>
      </c>
      <c r="I16">
        <f t="shared" si="1"/>
        <v>835</v>
      </c>
    </row>
    <row r="17" spans="1:9" ht="14.25" customHeight="1" x14ac:dyDescent="0.25">
      <c r="A17" s="1" t="s">
        <v>8</v>
      </c>
      <c r="B17" s="1" t="s">
        <v>3</v>
      </c>
      <c r="C17" s="1">
        <v>308</v>
      </c>
      <c r="D17" s="1">
        <v>431</v>
      </c>
      <c r="E17" s="1">
        <v>426184</v>
      </c>
      <c r="F17" s="1">
        <v>2.62</v>
      </c>
      <c r="G17" s="1">
        <v>1783</v>
      </c>
      <c r="H17" s="4">
        <f t="shared" si="0"/>
        <v>5.5587999999999997</v>
      </c>
      <c r="I17">
        <f t="shared" si="1"/>
        <v>-123</v>
      </c>
    </row>
    <row r="18" spans="1:9" ht="14.25" customHeight="1" x14ac:dyDescent="0.25">
      <c r="A18" s="1" t="s">
        <v>35</v>
      </c>
      <c r="B18" s="1" t="s">
        <v>5</v>
      </c>
      <c r="C18" s="1">
        <v>226</v>
      </c>
      <c r="D18" s="1">
        <v>445</v>
      </c>
      <c r="E18" s="1">
        <v>419447</v>
      </c>
      <c r="F18" s="1">
        <v>9.36</v>
      </c>
      <c r="G18" s="1">
        <v>9566</v>
      </c>
      <c r="H18" s="4">
        <f t="shared" si="0"/>
        <v>5.7156000000000002</v>
      </c>
      <c r="I18">
        <f t="shared" si="1"/>
        <v>-219</v>
      </c>
    </row>
    <row r="19" spans="1:9" ht="14.25" customHeight="1" x14ac:dyDescent="0.25">
      <c r="A19" s="1" t="s">
        <v>35</v>
      </c>
      <c r="B19" s="1" t="s">
        <v>7</v>
      </c>
      <c r="C19" s="1">
        <v>505</v>
      </c>
      <c r="D19" s="1">
        <v>441</v>
      </c>
      <c r="E19" s="1">
        <v>220020</v>
      </c>
      <c r="F19" s="1">
        <v>4.4800000000000004</v>
      </c>
      <c r="G19" s="1">
        <v>42307</v>
      </c>
      <c r="H19" s="4">
        <f t="shared" si="0"/>
        <v>5.6486000000000001</v>
      </c>
      <c r="I19">
        <f t="shared" si="1"/>
        <v>64</v>
      </c>
    </row>
    <row r="20" spans="1:9" ht="14.25" customHeight="1" x14ac:dyDescent="0.25">
      <c r="A20" s="1" t="s">
        <v>35</v>
      </c>
      <c r="B20" s="1" t="s">
        <v>1</v>
      </c>
      <c r="C20" s="1">
        <v>1420</v>
      </c>
      <c r="D20" s="1">
        <v>63</v>
      </c>
      <c r="E20" s="1">
        <v>315305</v>
      </c>
      <c r="F20" s="1">
        <v>6.19</v>
      </c>
      <c r="G20" s="1">
        <v>5914</v>
      </c>
      <c r="H20" s="4">
        <f t="shared" si="0"/>
        <v>5.6558000000000002</v>
      </c>
      <c r="I20">
        <f t="shared" si="1"/>
        <v>1357</v>
      </c>
    </row>
    <row r="21" spans="1:9" ht="14.25" customHeight="1" x14ac:dyDescent="0.25">
      <c r="A21" s="1" t="s">
        <v>35</v>
      </c>
      <c r="B21" s="1" t="s">
        <v>3</v>
      </c>
      <c r="C21" s="1">
        <v>144</v>
      </c>
      <c r="D21" s="1">
        <v>53</v>
      </c>
      <c r="E21" s="1">
        <v>113678</v>
      </c>
      <c r="F21" s="1">
        <v>8.7200000000000006</v>
      </c>
      <c r="G21" s="1">
        <v>30060</v>
      </c>
      <c r="H21" s="4">
        <f t="shared" si="0"/>
        <v>5.5587999999999997</v>
      </c>
      <c r="I21">
        <f t="shared" si="1"/>
        <v>91</v>
      </c>
    </row>
    <row r="22" spans="1:9" ht="14.25" customHeight="1" x14ac:dyDescent="0.25">
      <c r="A22" s="1" t="s">
        <v>43</v>
      </c>
      <c r="B22" s="1" t="s">
        <v>5</v>
      </c>
      <c r="C22" s="1">
        <v>1757</v>
      </c>
      <c r="D22" s="1">
        <v>85</v>
      </c>
      <c r="E22" s="1">
        <v>58223</v>
      </c>
      <c r="F22" s="1">
        <v>8.74</v>
      </c>
      <c r="G22" s="1">
        <v>22728</v>
      </c>
      <c r="H22" s="4">
        <f t="shared" si="0"/>
        <v>5.7156000000000002</v>
      </c>
      <c r="I22">
        <f t="shared" si="1"/>
        <v>1672</v>
      </c>
    </row>
    <row r="23" spans="1:9" ht="14.25" customHeight="1" x14ac:dyDescent="0.25">
      <c r="A23" s="1" t="s">
        <v>43</v>
      </c>
      <c r="B23" s="1" t="s">
        <v>7</v>
      </c>
      <c r="C23" s="1">
        <v>350</v>
      </c>
      <c r="D23" s="1">
        <v>41</v>
      </c>
      <c r="E23" s="1">
        <v>251694</v>
      </c>
      <c r="F23" s="1">
        <v>1.91</v>
      </c>
      <c r="G23" s="1">
        <v>38610</v>
      </c>
      <c r="H23" s="4">
        <f t="shared" si="0"/>
        <v>5.6486000000000001</v>
      </c>
      <c r="I23">
        <f t="shared" si="1"/>
        <v>309</v>
      </c>
    </row>
    <row r="24" spans="1:9" ht="14.25" customHeight="1" x14ac:dyDescent="0.25">
      <c r="A24" s="1" t="s">
        <v>43</v>
      </c>
      <c r="B24" s="1" t="s">
        <v>1</v>
      </c>
      <c r="C24" s="1">
        <v>987</v>
      </c>
      <c r="D24" s="1">
        <v>440</v>
      </c>
      <c r="E24" s="1">
        <v>389810</v>
      </c>
      <c r="F24" s="1">
        <v>4.66</v>
      </c>
      <c r="G24" s="1">
        <v>2932</v>
      </c>
      <c r="H24" s="4">
        <f t="shared" si="0"/>
        <v>5.6558000000000002</v>
      </c>
      <c r="I24">
        <f t="shared" si="1"/>
        <v>547</v>
      </c>
    </row>
    <row r="25" spans="1:9" ht="14.25" customHeight="1" x14ac:dyDescent="0.25">
      <c r="A25" s="1" t="s">
        <v>43</v>
      </c>
      <c r="B25" s="1" t="s">
        <v>3</v>
      </c>
      <c r="C25" s="1">
        <v>883</v>
      </c>
      <c r="D25" s="1">
        <v>369</v>
      </c>
      <c r="E25" s="1">
        <v>233694</v>
      </c>
      <c r="F25" s="1">
        <v>2.88</v>
      </c>
      <c r="G25" s="1">
        <v>15071</v>
      </c>
      <c r="H25" s="4">
        <f t="shared" si="0"/>
        <v>5.5587999999999997</v>
      </c>
      <c r="I25">
        <f t="shared" si="1"/>
        <v>514</v>
      </c>
    </row>
    <row r="26" spans="1:9" ht="14.25" customHeight="1" x14ac:dyDescent="0.25">
      <c r="A26" s="1" t="s">
        <v>32</v>
      </c>
      <c r="B26" s="1" t="s">
        <v>5</v>
      </c>
      <c r="C26" s="1">
        <v>1960</v>
      </c>
      <c r="D26" s="1">
        <v>115</v>
      </c>
      <c r="E26" s="1">
        <v>154169</v>
      </c>
      <c r="F26" s="1">
        <v>3.74</v>
      </c>
      <c r="G26" s="1">
        <v>10740</v>
      </c>
      <c r="H26" s="4">
        <f t="shared" si="0"/>
        <v>5.7156000000000002</v>
      </c>
      <c r="I26">
        <f t="shared" si="1"/>
        <v>1845</v>
      </c>
    </row>
    <row r="27" spans="1:9" ht="14.25" customHeight="1" x14ac:dyDescent="0.25">
      <c r="A27" s="1" t="s">
        <v>32</v>
      </c>
      <c r="B27" s="1" t="s">
        <v>7</v>
      </c>
      <c r="C27" s="1">
        <v>170</v>
      </c>
      <c r="D27" s="1">
        <v>334</v>
      </c>
      <c r="E27" s="1">
        <v>334626</v>
      </c>
      <c r="F27" s="1">
        <v>6.44</v>
      </c>
      <c r="G27" s="1">
        <v>43420</v>
      </c>
      <c r="H27" s="4">
        <f t="shared" si="0"/>
        <v>5.6486000000000001</v>
      </c>
      <c r="I27">
        <f t="shared" si="1"/>
        <v>-164</v>
      </c>
    </row>
    <row r="28" spans="1:9" ht="14.25" customHeight="1" x14ac:dyDescent="0.25">
      <c r="A28" s="1" t="s">
        <v>32</v>
      </c>
      <c r="B28" s="1" t="s">
        <v>1</v>
      </c>
      <c r="C28" s="1">
        <v>704</v>
      </c>
      <c r="D28" s="1">
        <v>275</v>
      </c>
      <c r="E28" s="1">
        <v>226002</v>
      </c>
      <c r="F28" s="1">
        <v>8.56</v>
      </c>
      <c r="G28" s="1">
        <v>32393</v>
      </c>
      <c r="H28" s="4">
        <f t="shared" si="0"/>
        <v>5.6558000000000002</v>
      </c>
      <c r="I28">
        <f t="shared" si="1"/>
        <v>429</v>
      </c>
    </row>
    <row r="29" spans="1:9" ht="14.25" customHeight="1" x14ac:dyDescent="0.25">
      <c r="A29" s="1" t="s">
        <v>32</v>
      </c>
      <c r="B29" s="1" t="s">
        <v>3</v>
      </c>
      <c r="C29" s="1">
        <v>224</v>
      </c>
      <c r="D29" s="1">
        <v>64</v>
      </c>
      <c r="E29" s="1">
        <v>156683</v>
      </c>
      <c r="F29" s="1">
        <v>4.5599999999999996</v>
      </c>
      <c r="G29" s="1">
        <v>28474</v>
      </c>
      <c r="H29" s="4">
        <f t="shared" si="0"/>
        <v>5.5587999999999997</v>
      </c>
      <c r="I29">
        <f t="shared" si="1"/>
        <v>160</v>
      </c>
    </row>
    <row r="30" spans="1:9" ht="14.25" customHeight="1" x14ac:dyDescent="0.25">
      <c r="A30" s="1" t="s">
        <v>44</v>
      </c>
      <c r="B30" s="1" t="s">
        <v>5</v>
      </c>
      <c r="C30" s="1">
        <v>508</v>
      </c>
      <c r="D30" s="1">
        <v>349</v>
      </c>
      <c r="E30" s="1">
        <v>473812</v>
      </c>
      <c r="F30" s="1">
        <v>7.88</v>
      </c>
      <c r="G30" s="1">
        <v>17328</v>
      </c>
      <c r="H30" s="4">
        <f t="shared" si="0"/>
        <v>5.7156000000000002</v>
      </c>
      <c r="I30">
        <f t="shared" si="1"/>
        <v>159</v>
      </c>
    </row>
    <row r="31" spans="1:9" ht="14.25" customHeight="1" x14ac:dyDescent="0.25">
      <c r="A31" s="1" t="s">
        <v>44</v>
      </c>
      <c r="B31" s="1" t="s">
        <v>7</v>
      </c>
      <c r="C31" s="1">
        <v>1391</v>
      </c>
      <c r="D31" s="1">
        <v>430</v>
      </c>
      <c r="E31" s="1">
        <v>295032</v>
      </c>
      <c r="F31" s="1">
        <v>7.86</v>
      </c>
      <c r="G31" s="1">
        <v>26067</v>
      </c>
      <c r="H31" s="4">
        <f t="shared" si="0"/>
        <v>5.6486000000000001</v>
      </c>
      <c r="I31">
        <f t="shared" si="1"/>
        <v>961</v>
      </c>
    </row>
    <row r="32" spans="1:9" ht="14.25" customHeight="1" x14ac:dyDescent="0.25">
      <c r="A32" s="1" t="s">
        <v>44</v>
      </c>
      <c r="B32" s="1" t="s">
        <v>1</v>
      </c>
      <c r="C32" s="1">
        <v>1701</v>
      </c>
      <c r="D32" s="1">
        <v>385</v>
      </c>
      <c r="E32" s="1">
        <v>198278</v>
      </c>
      <c r="F32" s="1">
        <v>5.34</v>
      </c>
      <c r="G32" s="1">
        <v>32763</v>
      </c>
      <c r="H32" s="4">
        <f t="shared" si="0"/>
        <v>5.6558000000000002</v>
      </c>
      <c r="I32">
        <f t="shared" si="1"/>
        <v>1316</v>
      </c>
    </row>
    <row r="33" spans="1:9" ht="14.25" customHeight="1" x14ac:dyDescent="0.25">
      <c r="A33" s="1" t="s">
        <v>44</v>
      </c>
      <c r="B33" s="1" t="s">
        <v>3</v>
      </c>
      <c r="C33" s="1">
        <v>804</v>
      </c>
      <c r="D33" s="1">
        <v>487</v>
      </c>
      <c r="E33" s="1">
        <v>306564</v>
      </c>
      <c r="F33" s="1">
        <v>5.52</v>
      </c>
      <c r="G33" s="1">
        <v>26452</v>
      </c>
      <c r="H33" s="4">
        <f t="shared" si="0"/>
        <v>5.5587999999999997</v>
      </c>
      <c r="I33">
        <f t="shared" si="1"/>
        <v>317</v>
      </c>
    </row>
    <row r="34" spans="1:9" ht="14.25" customHeight="1" x14ac:dyDescent="0.25">
      <c r="A34" s="1" t="s">
        <v>30</v>
      </c>
      <c r="B34" s="1" t="s">
        <v>5</v>
      </c>
      <c r="C34" s="1">
        <v>653</v>
      </c>
      <c r="D34" s="1">
        <v>112</v>
      </c>
      <c r="E34" s="1">
        <v>23664</v>
      </c>
      <c r="F34" s="1">
        <v>4.05</v>
      </c>
      <c r="G34" s="1">
        <v>15353</v>
      </c>
      <c r="H34" s="4">
        <f t="shared" si="0"/>
        <v>5.7156000000000002</v>
      </c>
      <c r="I34">
        <f t="shared" si="1"/>
        <v>541</v>
      </c>
    </row>
    <row r="35" spans="1:9" ht="14.25" customHeight="1" x14ac:dyDescent="0.25">
      <c r="A35" s="1" t="s">
        <v>30</v>
      </c>
      <c r="B35" s="1" t="s">
        <v>7</v>
      </c>
      <c r="C35" s="1">
        <v>160</v>
      </c>
      <c r="D35" s="1">
        <v>478</v>
      </c>
      <c r="E35" s="1">
        <v>435034</v>
      </c>
      <c r="F35" s="1">
        <v>7.73</v>
      </c>
      <c r="G35" s="1">
        <v>4839</v>
      </c>
      <c r="H35" s="4">
        <f t="shared" si="0"/>
        <v>5.6486000000000001</v>
      </c>
      <c r="I35">
        <f t="shared" si="1"/>
        <v>-318</v>
      </c>
    </row>
    <row r="36" spans="1:9" ht="14.25" customHeight="1" x14ac:dyDescent="0.25">
      <c r="A36" s="1" t="s">
        <v>30</v>
      </c>
      <c r="B36" s="1" t="s">
        <v>1</v>
      </c>
      <c r="C36" s="1">
        <v>1756</v>
      </c>
      <c r="D36" s="1">
        <v>261</v>
      </c>
      <c r="E36" s="1">
        <v>287574</v>
      </c>
      <c r="F36" s="1">
        <v>4.3600000000000003</v>
      </c>
      <c r="G36" s="1">
        <v>39272</v>
      </c>
      <c r="H36" s="4">
        <f t="shared" si="0"/>
        <v>5.6558000000000002</v>
      </c>
      <c r="I36">
        <f t="shared" si="1"/>
        <v>1495</v>
      </c>
    </row>
    <row r="37" spans="1:9" ht="14.25" customHeight="1" x14ac:dyDescent="0.25">
      <c r="A37" s="1" t="s">
        <v>30</v>
      </c>
      <c r="B37" s="1" t="s">
        <v>3</v>
      </c>
      <c r="C37" s="1">
        <v>576</v>
      </c>
      <c r="D37" s="1">
        <v>101</v>
      </c>
      <c r="E37" s="1">
        <v>62499</v>
      </c>
      <c r="F37" s="1">
        <v>3.48</v>
      </c>
      <c r="G37" s="1">
        <v>16804</v>
      </c>
      <c r="H37" s="4">
        <f t="shared" si="0"/>
        <v>5.5587999999999997</v>
      </c>
      <c r="I37">
        <f t="shared" si="1"/>
        <v>475</v>
      </c>
    </row>
    <row r="38" spans="1:9" ht="14.25" customHeight="1" x14ac:dyDescent="0.25">
      <c r="A38" s="1" t="s">
        <v>36</v>
      </c>
      <c r="B38" s="1" t="s">
        <v>5</v>
      </c>
      <c r="C38" s="1">
        <v>645</v>
      </c>
      <c r="D38" s="1">
        <v>293</v>
      </c>
      <c r="E38" s="1">
        <v>437968</v>
      </c>
      <c r="F38" s="1">
        <v>7.83</v>
      </c>
      <c r="G38" s="1">
        <v>49303</v>
      </c>
      <c r="H38" s="4">
        <f t="shared" si="0"/>
        <v>5.7156000000000002</v>
      </c>
      <c r="I38">
        <f t="shared" si="1"/>
        <v>352</v>
      </c>
    </row>
    <row r="39" spans="1:9" ht="14.25" customHeight="1" x14ac:dyDescent="0.25">
      <c r="A39" s="1" t="s">
        <v>36</v>
      </c>
      <c r="B39" s="1" t="s">
        <v>7</v>
      </c>
      <c r="C39" s="1">
        <v>214</v>
      </c>
      <c r="D39" s="1">
        <v>411</v>
      </c>
      <c r="E39" s="1">
        <v>125034</v>
      </c>
      <c r="F39" s="1">
        <v>6.11</v>
      </c>
      <c r="G39" s="1">
        <v>26455</v>
      </c>
      <c r="H39" s="4">
        <f t="shared" si="0"/>
        <v>5.6486000000000001</v>
      </c>
      <c r="I39">
        <f t="shared" si="1"/>
        <v>-197</v>
      </c>
    </row>
    <row r="40" spans="1:9" ht="14.25" customHeight="1" x14ac:dyDescent="0.25">
      <c r="A40" s="1" t="s">
        <v>36</v>
      </c>
      <c r="B40" s="1" t="s">
        <v>1</v>
      </c>
      <c r="C40" s="1">
        <v>826</v>
      </c>
      <c r="D40" s="1">
        <v>498</v>
      </c>
      <c r="E40" s="1">
        <v>449994</v>
      </c>
      <c r="F40" s="1">
        <v>9.43</v>
      </c>
      <c r="G40" s="1">
        <v>12384</v>
      </c>
      <c r="H40" s="4">
        <f t="shared" si="0"/>
        <v>5.6558000000000002</v>
      </c>
      <c r="I40">
        <f t="shared" si="1"/>
        <v>328</v>
      </c>
    </row>
    <row r="41" spans="1:9" ht="14.25" customHeight="1" x14ac:dyDescent="0.25">
      <c r="A41" s="1" t="s">
        <v>36</v>
      </c>
      <c r="B41" s="1" t="s">
        <v>3</v>
      </c>
      <c r="C41" s="1">
        <v>460</v>
      </c>
      <c r="D41" s="1">
        <v>141</v>
      </c>
      <c r="E41" s="1">
        <v>320650</v>
      </c>
      <c r="F41" s="1">
        <v>4.04</v>
      </c>
      <c r="G41" s="1">
        <v>49372</v>
      </c>
      <c r="H41" s="4">
        <f t="shared" si="0"/>
        <v>5.5587999999999997</v>
      </c>
      <c r="I41">
        <f t="shared" si="1"/>
        <v>319</v>
      </c>
    </row>
    <row r="42" spans="1:9" ht="14.25" customHeight="1" x14ac:dyDescent="0.25">
      <c r="A42" s="1" t="s">
        <v>6</v>
      </c>
      <c r="B42" s="1" t="s">
        <v>5</v>
      </c>
      <c r="C42" s="1">
        <v>1528</v>
      </c>
      <c r="D42" s="1">
        <v>203</v>
      </c>
      <c r="E42" s="1">
        <v>489188</v>
      </c>
      <c r="F42" s="1">
        <v>6.23</v>
      </c>
      <c r="G42" s="1">
        <v>47101</v>
      </c>
      <c r="H42" s="4">
        <f t="shared" si="0"/>
        <v>5.7156000000000002</v>
      </c>
      <c r="I42">
        <f t="shared" si="1"/>
        <v>1325</v>
      </c>
    </row>
    <row r="43" spans="1:9" ht="14.25" customHeight="1" x14ac:dyDescent="0.25">
      <c r="A43" s="1" t="s">
        <v>6</v>
      </c>
      <c r="B43" s="1" t="s">
        <v>7</v>
      </c>
      <c r="C43" s="1">
        <v>1534</v>
      </c>
      <c r="D43" s="1">
        <v>200</v>
      </c>
      <c r="E43" s="1">
        <v>307612</v>
      </c>
      <c r="F43" s="1">
        <v>6.01</v>
      </c>
      <c r="G43" s="1">
        <v>37903</v>
      </c>
      <c r="H43" s="4">
        <f t="shared" si="0"/>
        <v>5.6486000000000001</v>
      </c>
      <c r="I43">
        <f t="shared" si="1"/>
        <v>1334</v>
      </c>
    </row>
    <row r="44" spans="1:9" ht="14.25" customHeight="1" x14ac:dyDescent="0.25">
      <c r="A44" s="1" t="s">
        <v>6</v>
      </c>
      <c r="B44" s="1" t="s">
        <v>1</v>
      </c>
      <c r="C44" s="1">
        <v>485</v>
      </c>
      <c r="D44" s="1">
        <v>448</v>
      </c>
      <c r="E44" s="1">
        <v>434883</v>
      </c>
      <c r="F44" s="1">
        <v>8.5500000000000007</v>
      </c>
      <c r="G44" s="1">
        <v>33258</v>
      </c>
      <c r="H44" s="4">
        <f t="shared" si="0"/>
        <v>5.6558000000000002</v>
      </c>
      <c r="I44">
        <f t="shared" si="1"/>
        <v>37</v>
      </c>
    </row>
    <row r="45" spans="1:9" ht="14.25" customHeight="1" x14ac:dyDescent="0.25">
      <c r="A45" s="1" t="s">
        <v>6</v>
      </c>
      <c r="B45" s="1" t="s">
        <v>3</v>
      </c>
      <c r="C45" s="1">
        <v>1210</v>
      </c>
      <c r="D45" s="1">
        <v>178</v>
      </c>
      <c r="E45" s="1">
        <v>102042</v>
      </c>
      <c r="F45" s="1">
        <v>5.42</v>
      </c>
      <c r="G45" s="1">
        <v>6915</v>
      </c>
      <c r="H45" s="4">
        <f t="shared" si="0"/>
        <v>5.5587999999999997</v>
      </c>
      <c r="I45">
        <f t="shared" si="1"/>
        <v>1032</v>
      </c>
    </row>
    <row r="46" spans="1:9" ht="14.25" customHeight="1" x14ac:dyDescent="0.25">
      <c r="A46" s="1" t="s">
        <v>12</v>
      </c>
      <c r="B46" s="1" t="s">
        <v>5</v>
      </c>
      <c r="C46" s="1">
        <v>215</v>
      </c>
      <c r="D46" s="1">
        <v>139</v>
      </c>
      <c r="E46" s="1">
        <v>325444</v>
      </c>
      <c r="F46" s="1">
        <v>3.25</v>
      </c>
      <c r="G46" s="1">
        <v>35501</v>
      </c>
      <c r="H46" s="4">
        <f t="shared" si="0"/>
        <v>5.7156000000000002</v>
      </c>
      <c r="I46">
        <f t="shared" si="1"/>
        <v>76</v>
      </c>
    </row>
    <row r="47" spans="1:9" ht="14.25" customHeight="1" x14ac:dyDescent="0.25">
      <c r="A47" s="1" t="s">
        <v>12</v>
      </c>
      <c r="B47" s="1" t="s">
        <v>7</v>
      </c>
      <c r="C47" s="1">
        <v>1078</v>
      </c>
      <c r="D47" s="1">
        <v>20</v>
      </c>
      <c r="E47" s="1">
        <v>183924</v>
      </c>
      <c r="F47" s="1">
        <v>8.84</v>
      </c>
      <c r="G47" s="1">
        <v>14203</v>
      </c>
      <c r="H47" s="4">
        <f t="shared" si="0"/>
        <v>5.6486000000000001</v>
      </c>
      <c r="I47">
        <f t="shared" si="1"/>
        <v>1058</v>
      </c>
    </row>
    <row r="48" spans="1:9" ht="14.25" customHeight="1" x14ac:dyDescent="0.25">
      <c r="A48" s="1" t="s">
        <v>12</v>
      </c>
      <c r="B48" s="1" t="s">
        <v>1</v>
      </c>
      <c r="C48" s="1">
        <v>1751</v>
      </c>
      <c r="D48" s="1">
        <v>86</v>
      </c>
      <c r="E48" s="1">
        <v>188655</v>
      </c>
      <c r="F48" s="1">
        <v>7.24</v>
      </c>
      <c r="G48" s="1">
        <v>22206</v>
      </c>
      <c r="H48" s="4">
        <f t="shared" si="0"/>
        <v>5.6558000000000002</v>
      </c>
      <c r="I48">
        <f t="shared" si="1"/>
        <v>1665</v>
      </c>
    </row>
    <row r="49" spans="1:9" ht="14.25" customHeight="1" x14ac:dyDescent="0.25">
      <c r="A49" s="1" t="s">
        <v>12</v>
      </c>
      <c r="B49" s="1" t="s">
        <v>3</v>
      </c>
      <c r="C49" s="1">
        <v>221</v>
      </c>
      <c r="D49" s="1">
        <v>31</v>
      </c>
      <c r="E49" s="1">
        <v>87443</v>
      </c>
      <c r="F49" s="1">
        <v>6.19</v>
      </c>
      <c r="G49" s="1">
        <v>10283</v>
      </c>
      <c r="H49" s="4">
        <f t="shared" si="0"/>
        <v>5.5587999999999997</v>
      </c>
      <c r="I49">
        <f t="shared" si="1"/>
        <v>190</v>
      </c>
    </row>
    <row r="50" spans="1:9" ht="14.25" customHeight="1" x14ac:dyDescent="0.25">
      <c r="A50" s="1" t="s">
        <v>10</v>
      </c>
      <c r="B50" s="1" t="s">
        <v>5</v>
      </c>
      <c r="C50" s="1">
        <v>1685</v>
      </c>
      <c r="D50" s="1">
        <v>76</v>
      </c>
      <c r="E50" s="1">
        <v>453799</v>
      </c>
      <c r="F50" s="1">
        <v>5.71</v>
      </c>
      <c r="G50" s="1">
        <v>24913</v>
      </c>
      <c r="H50" s="4">
        <f t="shared" si="0"/>
        <v>5.7156000000000002</v>
      </c>
      <c r="I50">
        <f t="shared" si="1"/>
        <v>1609</v>
      </c>
    </row>
    <row r="51" spans="1:9" ht="14.25" customHeight="1" x14ac:dyDescent="0.25">
      <c r="A51" s="1" t="s">
        <v>10</v>
      </c>
      <c r="B51" s="1" t="s">
        <v>7</v>
      </c>
      <c r="C51" s="1">
        <v>248</v>
      </c>
      <c r="D51" s="1">
        <v>211</v>
      </c>
      <c r="E51" s="1">
        <v>379380</v>
      </c>
      <c r="F51" s="1">
        <v>9.0399999999999991</v>
      </c>
      <c r="G51" s="1">
        <v>26925</v>
      </c>
      <c r="H51" s="4">
        <f t="shared" si="0"/>
        <v>5.6486000000000001</v>
      </c>
      <c r="I51">
        <f t="shared" si="1"/>
        <v>37</v>
      </c>
    </row>
    <row r="52" spans="1:9" ht="14.25" customHeight="1" x14ac:dyDescent="0.25">
      <c r="A52" s="1" t="s">
        <v>10</v>
      </c>
      <c r="B52" s="1" t="s">
        <v>1</v>
      </c>
      <c r="C52" s="1">
        <v>1300</v>
      </c>
      <c r="D52" s="1">
        <v>71</v>
      </c>
      <c r="E52" s="1">
        <v>186454</v>
      </c>
      <c r="F52" s="1">
        <v>3.91</v>
      </c>
      <c r="G52" s="1">
        <v>9942</v>
      </c>
      <c r="H52" s="4">
        <f t="shared" si="0"/>
        <v>5.6558000000000002</v>
      </c>
      <c r="I52">
        <f t="shared" si="1"/>
        <v>1229</v>
      </c>
    </row>
    <row r="53" spans="1:9" ht="14.25" customHeight="1" x14ac:dyDescent="0.25">
      <c r="A53" s="1" t="s">
        <v>10</v>
      </c>
      <c r="B53" s="1" t="s">
        <v>3</v>
      </c>
      <c r="C53" s="1">
        <v>422</v>
      </c>
      <c r="D53" s="1">
        <v>394</v>
      </c>
      <c r="E53" s="1">
        <v>239044</v>
      </c>
      <c r="F53" s="1">
        <v>7.83</v>
      </c>
      <c r="G53" s="1">
        <v>32929</v>
      </c>
      <c r="H53" s="4">
        <f t="shared" si="0"/>
        <v>5.5587999999999997</v>
      </c>
      <c r="I53">
        <f t="shared" si="1"/>
        <v>28</v>
      </c>
    </row>
    <row r="54" spans="1:9" ht="14.25" customHeight="1" x14ac:dyDescent="0.25">
      <c r="A54" s="1" t="s">
        <v>22</v>
      </c>
      <c r="B54" s="1" t="s">
        <v>5</v>
      </c>
      <c r="C54" s="1">
        <v>1429</v>
      </c>
      <c r="D54" s="1">
        <v>182</v>
      </c>
      <c r="E54" s="1">
        <v>101332</v>
      </c>
      <c r="F54" s="1">
        <v>7.16</v>
      </c>
      <c r="G54" s="1">
        <v>37829</v>
      </c>
      <c r="H54" s="4">
        <f t="shared" si="0"/>
        <v>5.7156000000000002</v>
      </c>
      <c r="I54">
        <f t="shared" si="1"/>
        <v>1247</v>
      </c>
    </row>
    <row r="55" spans="1:9" ht="14.25" customHeight="1" x14ac:dyDescent="0.25">
      <c r="A55" s="1" t="s">
        <v>22</v>
      </c>
      <c r="B55" s="1" t="s">
        <v>7</v>
      </c>
      <c r="C55" s="1">
        <v>1520</v>
      </c>
      <c r="D55" s="1">
        <v>475</v>
      </c>
      <c r="E55" s="1">
        <v>496982</v>
      </c>
      <c r="F55" s="1">
        <v>6.41</v>
      </c>
      <c r="G55" s="1">
        <v>24384</v>
      </c>
      <c r="H55" s="4">
        <f t="shared" si="0"/>
        <v>5.6486000000000001</v>
      </c>
      <c r="I55">
        <f t="shared" si="1"/>
        <v>1045</v>
      </c>
    </row>
    <row r="56" spans="1:9" ht="14.25" customHeight="1" x14ac:dyDescent="0.25">
      <c r="A56" s="1" t="s">
        <v>22</v>
      </c>
      <c r="B56" s="1" t="s">
        <v>1</v>
      </c>
      <c r="C56" s="1">
        <v>557</v>
      </c>
      <c r="D56" s="1">
        <v>360</v>
      </c>
      <c r="E56" s="1">
        <v>318779</v>
      </c>
      <c r="F56" s="1">
        <v>8.02</v>
      </c>
      <c r="G56" s="1">
        <v>25797</v>
      </c>
      <c r="H56" s="4">
        <f t="shared" si="0"/>
        <v>5.6558000000000002</v>
      </c>
      <c r="I56">
        <f t="shared" si="1"/>
        <v>197</v>
      </c>
    </row>
    <row r="57" spans="1:9" ht="14.25" customHeight="1" x14ac:dyDescent="0.25">
      <c r="A57" s="1" t="s">
        <v>22</v>
      </c>
      <c r="B57" s="1" t="s">
        <v>3</v>
      </c>
      <c r="C57" s="1">
        <v>728</v>
      </c>
      <c r="D57" s="1">
        <v>395</v>
      </c>
      <c r="E57" s="1">
        <v>370971</v>
      </c>
      <c r="F57" s="1">
        <v>3.86</v>
      </c>
      <c r="G57" s="1">
        <v>12646</v>
      </c>
      <c r="H57" s="4">
        <f t="shared" si="0"/>
        <v>5.5587999999999997</v>
      </c>
      <c r="I57">
        <f t="shared" si="1"/>
        <v>333</v>
      </c>
    </row>
    <row r="58" spans="1:9" ht="14.25" customHeight="1" x14ac:dyDescent="0.25">
      <c r="A58" s="1" t="s">
        <v>13</v>
      </c>
      <c r="B58" s="1" t="s">
        <v>5</v>
      </c>
      <c r="C58" s="1">
        <v>1592</v>
      </c>
      <c r="D58" s="1">
        <v>20</v>
      </c>
      <c r="E58" s="1">
        <v>378054</v>
      </c>
      <c r="F58" s="1">
        <v>9.09</v>
      </c>
      <c r="G58" s="1">
        <v>26663</v>
      </c>
      <c r="H58" s="4">
        <f t="shared" si="0"/>
        <v>5.7156000000000002</v>
      </c>
      <c r="I58">
        <f t="shared" si="1"/>
        <v>1572</v>
      </c>
    </row>
    <row r="59" spans="1:9" ht="14.25" customHeight="1" x14ac:dyDescent="0.25">
      <c r="A59" s="1" t="s">
        <v>13</v>
      </c>
      <c r="B59" s="1" t="s">
        <v>7</v>
      </c>
      <c r="C59" s="1">
        <v>1842</v>
      </c>
      <c r="D59" s="1">
        <v>414</v>
      </c>
      <c r="E59" s="1">
        <v>307524</v>
      </c>
      <c r="F59" s="1">
        <v>1.76</v>
      </c>
      <c r="G59" s="1">
        <v>40478</v>
      </c>
      <c r="H59" s="4">
        <f t="shared" si="0"/>
        <v>5.6486000000000001</v>
      </c>
      <c r="I59">
        <f t="shared" si="1"/>
        <v>1428</v>
      </c>
    </row>
    <row r="60" spans="1:9" ht="14.25" customHeight="1" x14ac:dyDescent="0.25">
      <c r="A60" s="1" t="s">
        <v>13</v>
      </c>
      <c r="B60" s="1" t="s">
        <v>1</v>
      </c>
      <c r="C60" s="1">
        <v>751</v>
      </c>
      <c r="D60" s="1">
        <v>491</v>
      </c>
      <c r="E60" s="1">
        <v>434047</v>
      </c>
      <c r="F60" s="1">
        <v>9.24</v>
      </c>
      <c r="G60" s="1">
        <v>15476</v>
      </c>
      <c r="H60" s="4">
        <f t="shared" si="0"/>
        <v>5.6558000000000002</v>
      </c>
      <c r="I60">
        <f t="shared" si="1"/>
        <v>260</v>
      </c>
    </row>
    <row r="61" spans="1:9" ht="14.25" customHeight="1" x14ac:dyDescent="0.25">
      <c r="A61" s="1" t="s">
        <v>13</v>
      </c>
      <c r="B61" s="1" t="s">
        <v>3</v>
      </c>
      <c r="C61" s="1">
        <v>1409</v>
      </c>
      <c r="D61" s="1">
        <v>309</v>
      </c>
      <c r="E61" s="1">
        <v>64583</v>
      </c>
      <c r="F61" s="1">
        <v>8.99</v>
      </c>
      <c r="G61" s="1">
        <v>10217</v>
      </c>
      <c r="H61" s="4">
        <f t="shared" si="0"/>
        <v>5.5587999999999997</v>
      </c>
      <c r="I61">
        <f t="shared" si="1"/>
        <v>1100</v>
      </c>
    </row>
    <row r="62" spans="1:9" ht="14.25" customHeight="1" x14ac:dyDescent="0.25">
      <c r="A62" s="1" t="s">
        <v>45</v>
      </c>
      <c r="B62" s="1" t="s">
        <v>5</v>
      </c>
      <c r="C62" s="1">
        <v>778</v>
      </c>
      <c r="D62" s="1">
        <v>401</v>
      </c>
      <c r="E62" s="1">
        <v>50793</v>
      </c>
      <c r="F62" s="1">
        <v>3.4</v>
      </c>
      <c r="G62" s="1">
        <v>21939</v>
      </c>
      <c r="H62" s="4">
        <f t="shared" si="0"/>
        <v>5.7156000000000002</v>
      </c>
      <c r="I62">
        <f t="shared" si="1"/>
        <v>377</v>
      </c>
    </row>
    <row r="63" spans="1:9" ht="14.25" customHeight="1" x14ac:dyDescent="0.25">
      <c r="A63" s="1" t="s">
        <v>45</v>
      </c>
      <c r="B63" s="1" t="s">
        <v>7</v>
      </c>
      <c r="C63" s="1">
        <v>443</v>
      </c>
      <c r="D63" s="1">
        <v>345</v>
      </c>
      <c r="E63" s="1">
        <v>474162</v>
      </c>
      <c r="F63" s="1">
        <v>9.1999999999999993</v>
      </c>
      <c r="G63" s="1">
        <v>47462</v>
      </c>
      <c r="H63" s="4">
        <f t="shared" si="0"/>
        <v>5.6486000000000001</v>
      </c>
      <c r="I63">
        <f t="shared" si="1"/>
        <v>98</v>
      </c>
    </row>
    <row r="64" spans="1:9" ht="14.25" customHeight="1" x14ac:dyDescent="0.25">
      <c r="A64" s="1" t="s">
        <v>45</v>
      </c>
      <c r="B64" s="1" t="s">
        <v>1</v>
      </c>
      <c r="C64" s="1">
        <v>1472</v>
      </c>
      <c r="D64" s="1">
        <v>347</v>
      </c>
      <c r="E64" s="1">
        <v>392355</v>
      </c>
      <c r="F64" s="1">
        <v>8.59</v>
      </c>
      <c r="G64" s="1">
        <v>30270</v>
      </c>
      <c r="H64" s="4">
        <f t="shared" si="0"/>
        <v>5.6558000000000002</v>
      </c>
      <c r="I64">
        <f t="shared" si="1"/>
        <v>1125</v>
      </c>
    </row>
    <row r="65" spans="1:9" ht="14.25" customHeight="1" x14ac:dyDescent="0.25">
      <c r="A65" s="1" t="s">
        <v>45</v>
      </c>
      <c r="B65" s="1" t="s">
        <v>3</v>
      </c>
      <c r="C65" s="1">
        <v>123</v>
      </c>
      <c r="D65" s="1">
        <v>155</v>
      </c>
      <c r="E65" s="1">
        <v>119934</v>
      </c>
      <c r="F65" s="1">
        <v>3.5</v>
      </c>
      <c r="G65" s="1">
        <v>5442</v>
      </c>
      <c r="H65" s="4">
        <f t="shared" si="0"/>
        <v>5.5587999999999997</v>
      </c>
      <c r="I65">
        <f t="shared" si="1"/>
        <v>-32</v>
      </c>
    </row>
    <row r="66" spans="1:9" ht="14.25" customHeight="1" x14ac:dyDescent="0.25">
      <c r="A66" s="1" t="s">
        <v>46</v>
      </c>
      <c r="B66" s="1" t="s">
        <v>5</v>
      </c>
      <c r="C66" s="1">
        <v>817</v>
      </c>
      <c r="D66" s="1">
        <v>151</v>
      </c>
      <c r="E66" s="1">
        <v>422625</v>
      </c>
      <c r="F66" s="1">
        <v>2.36</v>
      </c>
      <c r="G66" s="1">
        <v>1083</v>
      </c>
      <c r="H66" s="4">
        <f t="shared" si="0"/>
        <v>5.7156000000000002</v>
      </c>
      <c r="I66">
        <f t="shared" si="1"/>
        <v>666</v>
      </c>
    </row>
    <row r="67" spans="1:9" ht="14.25" customHeight="1" x14ac:dyDescent="0.25">
      <c r="A67" s="1" t="s">
        <v>46</v>
      </c>
      <c r="B67" s="1" t="s">
        <v>7</v>
      </c>
      <c r="C67" s="1">
        <v>198</v>
      </c>
      <c r="D67" s="1">
        <v>217</v>
      </c>
      <c r="E67" s="1">
        <v>239753</v>
      </c>
      <c r="F67" s="1">
        <v>7.36</v>
      </c>
      <c r="G67" s="1">
        <v>11901</v>
      </c>
      <c r="H67" s="4">
        <f t="shared" ref="H67:H130" si="2">AVERAGEIF(B:B,B67,F:F)</f>
        <v>5.6486000000000001</v>
      </c>
      <c r="I67">
        <f t="shared" ref="I67:I130" si="3">C67-D67</f>
        <v>-19</v>
      </c>
    </row>
    <row r="68" spans="1:9" ht="14.25" customHeight="1" x14ac:dyDescent="0.25">
      <c r="A68" s="1" t="s">
        <v>46</v>
      </c>
      <c r="B68" s="1" t="s">
        <v>1</v>
      </c>
      <c r="C68" s="1">
        <v>1911</v>
      </c>
      <c r="D68" s="1">
        <v>231</v>
      </c>
      <c r="E68" s="1">
        <v>268516</v>
      </c>
      <c r="F68" s="1">
        <v>8.5500000000000007</v>
      </c>
      <c r="G68" s="1">
        <v>24018</v>
      </c>
      <c r="H68" s="4">
        <f t="shared" si="2"/>
        <v>5.6558000000000002</v>
      </c>
      <c r="I68">
        <f t="shared" si="3"/>
        <v>1680</v>
      </c>
    </row>
    <row r="69" spans="1:9" ht="14.25" customHeight="1" x14ac:dyDescent="0.25">
      <c r="A69" s="1" t="s">
        <v>46</v>
      </c>
      <c r="B69" s="1" t="s">
        <v>3</v>
      </c>
      <c r="C69" s="1">
        <v>1218</v>
      </c>
      <c r="D69" s="1">
        <v>212</v>
      </c>
      <c r="E69" s="1">
        <v>63177</v>
      </c>
      <c r="F69" s="1">
        <v>8.1300000000000008</v>
      </c>
      <c r="G69" s="1">
        <v>38883</v>
      </c>
      <c r="H69" s="4">
        <f t="shared" si="2"/>
        <v>5.5587999999999997</v>
      </c>
      <c r="I69">
        <f t="shared" si="3"/>
        <v>1006</v>
      </c>
    </row>
    <row r="70" spans="1:9" ht="14.25" customHeight="1" x14ac:dyDescent="0.25">
      <c r="A70" s="1" t="s">
        <v>47</v>
      </c>
      <c r="B70" s="1" t="s">
        <v>5</v>
      </c>
      <c r="C70" s="1">
        <v>1433</v>
      </c>
      <c r="D70" s="1">
        <v>408</v>
      </c>
      <c r="E70" s="1">
        <v>370269</v>
      </c>
      <c r="F70" s="1">
        <v>3.3</v>
      </c>
      <c r="G70" s="1">
        <v>30575</v>
      </c>
      <c r="H70" s="4">
        <f t="shared" si="2"/>
        <v>5.7156000000000002</v>
      </c>
      <c r="I70">
        <f t="shared" si="3"/>
        <v>1025</v>
      </c>
    </row>
    <row r="71" spans="1:9" ht="14.25" customHeight="1" x14ac:dyDescent="0.25">
      <c r="A71" s="1" t="s">
        <v>47</v>
      </c>
      <c r="B71" s="1" t="s">
        <v>7</v>
      </c>
      <c r="C71" s="1">
        <v>250</v>
      </c>
      <c r="D71" s="1">
        <v>429</v>
      </c>
      <c r="E71" s="1">
        <v>453423</v>
      </c>
      <c r="F71" s="1">
        <v>1.77</v>
      </c>
      <c r="G71" s="1">
        <v>2315</v>
      </c>
      <c r="H71" s="4">
        <f t="shared" si="2"/>
        <v>5.6486000000000001</v>
      </c>
      <c r="I71">
        <f t="shared" si="3"/>
        <v>-179</v>
      </c>
    </row>
    <row r="72" spans="1:9" ht="14.25" customHeight="1" x14ac:dyDescent="0.25">
      <c r="A72" s="1" t="s">
        <v>47</v>
      </c>
      <c r="B72" s="1" t="s">
        <v>1</v>
      </c>
      <c r="C72" s="1">
        <v>752</v>
      </c>
      <c r="D72" s="1">
        <v>153</v>
      </c>
      <c r="E72" s="1">
        <v>64906</v>
      </c>
      <c r="F72" s="1">
        <v>2.09</v>
      </c>
      <c r="G72" s="1">
        <v>12148</v>
      </c>
      <c r="H72" s="4">
        <f t="shared" si="2"/>
        <v>5.6558000000000002</v>
      </c>
      <c r="I72">
        <f t="shared" si="3"/>
        <v>599</v>
      </c>
    </row>
    <row r="73" spans="1:9" ht="14.25" customHeight="1" x14ac:dyDescent="0.25">
      <c r="A73" s="1" t="s">
        <v>47</v>
      </c>
      <c r="B73" s="1" t="s">
        <v>3</v>
      </c>
      <c r="C73" s="1">
        <v>1918</v>
      </c>
      <c r="D73" s="1">
        <v>212</v>
      </c>
      <c r="E73" s="1">
        <v>94360</v>
      </c>
      <c r="F73" s="1">
        <v>7.36</v>
      </c>
      <c r="G73" s="1">
        <v>36851</v>
      </c>
      <c r="H73" s="4">
        <f t="shared" si="2"/>
        <v>5.5587999999999997</v>
      </c>
      <c r="I73">
        <f t="shared" si="3"/>
        <v>1706</v>
      </c>
    </row>
    <row r="74" spans="1:9" ht="14.25" customHeight="1" x14ac:dyDescent="0.25">
      <c r="A74" s="1" t="s">
        <v>48</v>
      </c>
      <c r="B74" s="1" t="s">
        <v>5</v>
      </c>
      <c r="C74" s="1">
        <v>1939</v>
      </c>
      <c r="D74" s="1">
        <v>67</v>
      </c>
      <c r="E74" s="1">
        <v>187183</v>
      </c>
      <c r="F74" s="1">
        <v>6.25</v>
      </c>
      <c r="G74" s="1">
        <v>41215</v>
      </c>
      <c r="H74" s="4">
        <f t="shared" si="2"/>
        <v>5.7156000000000002</v>
      </c>
      <c r="I74">
        <f t="shared" si="3"/>
        <v>1872</v>
      </c>
    </row>
    <row r="75" spans="1:9" ht="14.25" customHeight="1" x14ac:dyDescent="0.25">
      <c r="A75" s="1" t="s">
        <v>48</v>
      </c>
      <c r="B75" s="1" t="s">
        <v>7</v>
      </c>
      <c r="C75" s="1">
        <v>1929</v>
      </c>
      <c r="D75" s="1">
        <v>267</v>
      </c>
      <c r="E75" s="1">
        <v>379363</v>
      </c>
      <c r="F75" s="1">
        <v>1.75</v>
      </c>
      <c r="G75" s="1">
        <v>43836</v>
      </c>
      <c r="H75" s="4">
        <f t="shared" si="2"/>
        <v>5.6486000000000001</v>
      </c>
      <c r="I75">
        <f t="shared" si="3"/>
        <v>1662</v>
      </c>
    </row>
    <row r="76" spans="1:9" ht="14.25" customHeight="1" x14ac:dyDescent="0.25">
      <c r="A76" s="1" t="s">
        <v>48</v>
      </c>
      <c r="B76" s="1" t="s">
        <v>1</v>
      </c>
      <c r="C76" s="1">
        <v>437</v>
      </c>
      <c r="D76" s="1">
        <v>330</v>
      </c>
      <c r="E76" s="1">
        <v>476486</v>
      </c>
      <c r="F76" s="1">
        <v>4.97</v>
      </c>
      <c r="G76" s="1">
        <v>4509</v>
      </c>
      <c r="H76" s="4">
        <f t="shared" si="2"/>
        <v>5.6558000000000002</v>
      </c>
      <c r="I76">
        <f t="shared" si="3"/>
        <v>107</v>
      </c>
    </row>
    <row r="77" spans="1:9" ht="14.25" customHeight="1" x14ac:dyDescent="0.25">
      <c r="A77" s="1" t="s">
        <v>48</v>
      </c>
      <c r="B77" s="1" t="s">
        <v>3</v>
      </c>
      <c r="C77" s="1">
        <v>307</v>
      </c>
      <c r="D77" s="1">
        <v>189</v>
      </c>
      <c r="E77" s="1">
        <v>117767</v>
      </c>
      <c r="F77" s="1">
        <v>9.3000000000000007</v>
      </c>
      <c r="G77" s="1">
        <v>27822</v>
      </c>
      <c r="H77" s="4">
        <f t="shared" si="2"/>
        <v>5.5587999999999997</v>
      </c>
      <c r="I77">
        <f t="shared" si="3"/>
        <v>118</v>
      </c>
    </row>
    <row r="78" spans="1:9" ht="14.25" customHeight="1" x14ac:dyDescent="0.25">
      <c r="A78" s="1" t="s">
        <v>49</v>
      </c>
      <c r="B78" s="1" t="s">
        <v>5</v>
      </c>
      <c r="C78" s="1">
        <v>1527</v>
      </c>
      <c r="D78" s="1">
        <v>303</v>
      </c>
      <c r="E78" s="1">
        <v>388555</v>
      </c>
      <c r="F78" s="1">
        <v>8.9</v>
      </c>
      <c r="G78" s="1">
        <v>36397</v>
      </c>
      <c r="H78" s="4">
        <f t="shared" si="2"/>
        <v>5.7156000000000002</v>
      </c>
      <c r="I78">
        <f t="shared" si="3"/>
        <v>1224</v>
      </c>
    </row>
    <row r="79" spans="1:9" ht="14.25" customHeight="1" x14ac:dyDescent="0.25">
      <c r="A79" s="1" t="s">
        <v>49</v>
      </c>
      <c r="B79" s="1" t="s">
        <v>7</v>
      </c>
      <c r="C79" s="1">
        <v>643</v>
      </c>
      <c r="D79" s="1">
        <v>358</v>
      </c>
      <c r="E79" s="1">
        <v>157599</v>
      </c>
      <c r="F79" s="1">
        <v>3.88</v>
      </c>
      <c r="G79" s="1">
        <v>7285</v>
      </c>
      <c r="H79" s="4">
        <f t="shared" si="2"/>
        <v>5.6486000000000001</v>
      </c>
      <c r="I79">
        <f t="shared" si="3"/>
        <v>285</v>
      </c>
    </row>
    <row r="80" spans="1:9" ht="14.25" customHeight="1" x14ac:dyDescent="0.25">
      <c r="A80" s="1" t="s">
        <v>49</v>
      </c>
      <c r="B80" s="1" t="s">
        <v>1</v>
      </c>
      <c r="C80" s="1">
        <v>201</v>
      </c>
      <c r="D80" s="1">
        <v>221</v>
      </c>
      <c r="E80" s="1">
        <v>309772</v>
      </c>
      <c r="F80" s="1">
        <v>5.9</v>
      </c>
      <c r="G80" s="1">
        <v>33174</v>
      </c>
      <c r="H80" s="4">
        <f t="shared" si="2"/>
        <v>5.6558000000000002</v>
      </c>
      <c r="I80">
        <f t="shared" si="3"/>
        <v>-20</v>
      </c>
    </row>
    <row r="81" spans="1:9" ht="14.25" customHeight="1" x14ac:dyDescent="0.25">
      <c r="A81" s="1" t="s">
        <v>49</v>
      </c>
      <c r="B81" s="1" t="s">
        <v>3</v>
      </c>
      <c r="C81" s="1">
        <v>414</v>
      </c>
      <c r="D81" s="1">
        <v>47</v>
      </c>
      <c r="E81" s="1">
        <v>199178</v>
      </c>
      <c r="F81" s="1">
        <v>1.53</v>
      </c>
      <c r="G81" s="1">
        <v>6742</v>
      </c>
      <c r="H81" s="4">
        <f t="shared" si="2"/>
        <v>5.5587999999999997</v>
      </c>
      <c r="I81">
        <f t="shared" si="3"/>
        <v>367</v>
      </c>
    </row>
    <row r="82" spans="1:9" ht="14.25" customHeight="1" x14ac:dyDescent="0.25">
      <c r="A82" s="1" t="s">
        <v>21</v>
      </c>
      <c r="B82" s="1" t="s">
        <v>5</v>
      </c>
      <c r="C82" s="1">
        <v>703</v>
      </c>
      <c r="D82" s="1">
        <v>441</v>
      </c>
      <c r="E82" s="1">
        <v>357089</v>
      </c>
      <c r="F82" s="1">
        <v>6.5</v>
      </c>
      <c r="G82" s="1">
        <v>32478</v>
      </c>
      <c r="H82" s="4">
        <f t="shared" si="2"/>
        <v>5.7156000000000002</v>
      </c>
      <c r="I82">
        <f t="shared" si="3"/>
        <v>262</v>
      </c>
    </row>
    <row r="83" spans="1:9" ht="14.25" customHeight="1" x14ac:dyDescent="0.25">
      <c r="A83" s="1" t="s">
        <v>21</v>
      </c>
      <c r="B83" s="1" t="s">
        <v>7</v>
      </c>
      <c r="C83" s="1">
        <v>508</v>
      </c>
      <c r="D83" s="1">
        <v>69</v>
      </c>
      <c r="E83" s="1">
        <v>23492</v>
      </c>
      <c r="F83" s="1">
        <v>3.16</v>
      </c>
      <c r="G83" s="1">
        <v>42824</v>
      </c>
      <c r="H83" s="4">
        <f t="shared" si="2"/>
        <v>5.6486000000000001</v>
      </c>
      <c r="I83">
        <f t="shared" si="3"/>
        <v>439</v>
      </c>
    </row>
    <row r="84" spans="1:9" ht="14.25" customHeight="1" x14ac:dyDescent="0.25">
      <c r="A84" s="1" t="s">
        <v>21</v>
      </c>
      <c r="B84" s="1" t="s">
        <v>1</v>
      </c>
      <c r="C84" s="1">
        <v>697</v>
      </c>
      <c r="D84" s="1">
        <v>61</v>
      </c>
      <c r="E84" s="1">
        <v>258287</v>
      </c>
      <c r="F84" s="1">
        <v>8.25</v>
      </c>
      <c r="G84" s="1">
        <v>21208</v>
      </c>
      <c r="H84" s="4">
        <f t="shared" si="2"/>
        <v>5.6558000000000002</v>
      </c>
      <c r="I84">
        <f t="shared" si="3"/>
        <v>636</v>
      </c>
    </row>
    <row r="85" spans="1:9" ht="14.25" customHeight="1" x14ac:dyDescent="0.25">
      <c r="A85" s="1" t="s">
        <v>21</v>
      </c>
      <c r="B85" s="1" t="s">
        <v>3</v>
      </c>
      <c r="C85" s="1">
        <v>1707</v>
      </c>
      <c r="D85" s="1">
        <v>223</v>
      </c>
      <c r="E85" s="1">
        <v>256910</v>
      </c>
      <c r="F85" s="1">
        <v>5.41</v>
      </c>
      <c r="G85" s="1">
        <v>44321</v>
      </c>
      <c r="H85" s="4">
        <f t="shared" si="2"/>
        <v>5.5587999999999997</v>
      </c>
      <c r="I85">
        <f t="shared" si="3"/>
        <v>1484</v>
      </c>
    </row>
    <row r="86" spans="1:9" ht="14.25" customHeight="1" x14ac:dyDescent="0.25">
      <c r="A86" s="1" t="s">
        <v>24</v>
      </c>
      <c r="B86" s="1" t="s">
        <v>5</v>
      </c>
      <c r="C86" s="1">
        <v>642</v>
      </c>
      <c r="D86" s="1">
        <v>66</v>
      </c>
      <c r="E86" s="1">
        <v>346522</v>
      </c>
      <c r="F86" s="1">
        <v>5.85</v>
      </c>
      <c r="G86" s="1">
        <v>13116</v>
      </c>
      <c r="H86" s="4">
        <f t="shared" si="2"/>
        <v>5.7156000000000002</v>
      </c>
      <c r="I86">
        <f t="shared" si="3"/>
        <v>576</v>
      </c>
    </row>
    <row r="87" spans="1:9" ht="14.25" customHeight="1" x14ac:dyDescent="0.25">
      <c r="A87" s="1" t="s">
        <v>24</v>
      </c>
      <c r="B87" s="1" t="s">
        <v>7</v>
      </c>
      <c r="C87" s="1">
        <v>859</v>
      </c>
      <c r="D87" s="1">
        <v>473</v>
      </c>
      <c r="E87" s="1">
        <v>209987</v>
      </c>
      <c r="F87" s="1">
        <v>4.46</v>
      </c>
      <c r="G87" s="1">
        <v>30214</v>
      </c>
      <c r="H87" s="4">
        <f t="shared" si="2"/>
        <v>5.6486000000000001</v>
      </c>
      <c r="I87">
        <f t="shared" si="3"/>
        <v>386</v>
      </c>
    </row>
    <row r="88" spans="1:9" ht="14.25" customHeight="1" x14ac:dyDescent="0.25">
      <c r="A88" s="1" t="s">
        <v>24</v>
      </c>
      <c r="B88" s="1" t="s">
        <v>1</v>
      </c>
      <c r="C88" s="1">
        <v>191</v>
      </c>
      <c r="D88" s="1">
        <v>154</v>
      </c>
      <c r="E88" s="1">
        <v>240550</v>
      </c>
      <c r="F88" s="1">
        <v>5.22</v>
      </c>
      <c r="G88" s="1">
        <v>15827</v>
      </c>
      <c r="H88" s="4">
        <f t="shared" si="2"/>
        <v>5.6558000000000002</v>
      </c>
      <c r="I88">
        <f t="shared" si="3"/>
        <v>37</v>
      </c>
    </row>
    <row r="89" spans="1:9" ht="14.25" customHeight="1" x14ac:dyDescent="0.25">
      <c r="A89" s="1" t="s">
        <v>24</v>
      </c>
      <c r="B89" s="1" t="s">
        <v>3</v>
      </c>
      <c r="C89" s="1">
        <v>1814</v>
      </c>
      <c r="D89" s="1">
        <v>157</v>
      </c>
      <c r="E89" s="1">
        <v>305827</v>
      </c>
      <c r="F89" s="1">
        <v>1.99</v>
      </c>
      <c r="G89" s="1">
        <v>46643</v>
      </c>
      <c r="H89" s="4">
        <f t="shared" si="2"/>
        <v>5.5587999999999997</v>
      </c>
      <c r="I89">
        <f t="shared" si="3"/>
        <v>1657</v>
      </c>
    </row>
    <row r="90" spans="1:9" ht="14.25" customHeight="1" x14ac:dyDescent="0.25">
      <c r="A90" s="1" t="s">
        <v>31</v>
      </c>
      <c r="B90" s="1" t="s">
        <v>5</v>
      </c>
      <c r="C90" s="1">
        <v>1466</v>
      </c>
      <c r="D90" s="1">
        <v>69</v>
      </c>
      <c r="E90" s="1">
        <v>54935</v>
      </c>
      <c r="F90" s="1">
        <v>6.85</v>
      </c>
      <c r="G90" s="1">
        <v>36484</v>
      </c>
      <c r="H90" s="4">
        <f t="shared" si="2"/>
        <v>5.7156000000000002</v>
      </c>
      <c r="I90">
        <f t="shared" si="3"/>
        <v>1397</v>
      </c>
    </row>
    <row r="91" spans="1:9" ht="14.25" customHeight="1" x14ac:dyDescent="0.25">
      <c r="A91" s="1" t="s">
        <v>31</v>
      </c>
      <c r="B91" s="1" t="s">
        <v>7</v>
      </c>
      <c r="C91" s="1">
        <v>947</v>
      </c>
      <c r="D91" s="1">
        <v>407</v>
      </c>
      <c r="E91" s="1">
        <v>319186</v>
      </c>
      <c r="F91" s="1">
        <v>3.32</v>
      </c>
      <c r="G91" s="1">
        <v>4996</v>
      </c>
      <c r="H91" s="4">
        <f t="shared" si="2"/>
        <v>5.6486000000000001</v>
      </c>
      <c r="I91">
        <f t="shared" si="3"/>
        <v>540</v>
      </c>
    </row>
    <row r="92" spans="1:9" ht="14.25" customHeight="1" x14ac:dyDescent="0.25">
      <c r="A92" s="1" t="s">
        <v>31</v>
      </c>
      <c r="B92" s="1" t="s">
        <v>1</v>
      </c>
      <c r="C92" s="1">
        <v>1821</v>
      </c>
      <c r="D92" s="1">
        <v>218</v>
      </c>
      <c r="E92" s="1">
        <v>439080</v>
      </c>
      <c r="F92" s="1">
        <v>5.68</v>
      </c>
      <c r="G92" s="1">
        <v>36095</v>
      </c>
      <c r="H92" s="4">
        <f t="shared" si="2"/>
        <v>5.6558000000000002</v>
      </c>
      <c r="I92">
        <f t="shared" si="3"/>
        <v>1603</v>
      </c>
    </row>
    <row r="93" spans="1:9" ht="14.25" customHeight="1" x14ac:dyDescent="0.25">
      <c r="A93" s="1" t="s">
        <v>31</v>
      </c>
      <c r="B93" s="1" t="s">
        <v>3</v>
      </c>
      <c r="C93" s="1">
        <v>1507</v>
      </c>
      <c r="D93" s="1">
        <v>463</v>
      </c>
      <c r="E93" s="1">
        <v>258944</v>
      </c>
      <c r="F93" s="1">
        <v>6.08</v>
      </c>
      <c r="G93" s="1">
        <v>16443</v>
      </c>
      <c r="H93" s="4">
        <f t="shared" si="2"/>
        <v>5.5587999999999997</v>
      </c>
      <c r="I93">
        <f t="shared" si="3"/>
        <v>1044</v>
      </c>
    </row>
    <row r="94" spans="1:9" ht="14.25" customHeight="1" x14ac:dyDescent="0.25">
      <c r="A94" s="1" t="s">
        <v>50</v>
      </c>
      <c r="B94" s="1" t="s">
        <v>5</v>
      </c>
      <c r="C94" s="1">
        <v>1075</v>
      </c>
      <c r="D94" s="1">
        <v>173</v>
      </c>
      <c r="E94" s="1">
        <v>51395</v>
      </c>
      <c r="F94" s="1">
        <v>4.66</v>
      </c>
      <c r="G94" s="1">
        <v>47812</v>
      </c>
      <c r="H94" s="4">
        <f t="shared" si="2"/>
        <v>5.7156000000000002</v>
      </c>
      <c r="I94">
        <f t="shared" si="3"/>
        <v>902</v>
      </c>
    </row>
    <row r="95" spans="1:9" ht="14.25" customHeight="1" x14ac:dyDescent="0.25">
      <c r="A95" s="1" t="s">
        <v>50</v>
      </c>
      <c r="B95" s="1" t="s">
        <v>7</v>
      </c>
      <c r="C95" s="1">
        <v>171</v>
      </c>
      <c r="D95" s="1">
        <v>277</v>
      </c>
      <c r="E95" s="1">
        <v>309483</v>
      </c>
      <c r="F95" s="1">
        <v>8.6999999999999993</v>
      </c>
      <c r="G95" s="1">
        <v>38452</v>
      </c>
      <c r="H95" s="4">
        <f t="shared" si="2"/>
        <v>5.6486000000000001</v>
      </c>
      <c r="I95">
        <f t="shared" si="3"/>
        <v>-106</v>
      </c>
    </row>
    <row r="96" spans="1:9" ht="14.25" customHeight="1" x14ac:dyDescent="0.25">
      <c r="A96" s="1" t="s">
        <v>50</v>
      </c>
      <c r="B96" s="1" t="s">
        <v>1</v>
      </c>
      <c r="C96" s="1">
        <v>1487</v>
      </c>
      <c r="D96" s="1">
        <v>337</v>
      </c>
      <c r="E96" s="1">
        <v>87305</v>
      </c>
      <c r="F96" s="1">
        <v>2.46</v>
      </c>
      <c r="G96" s="1">
        <v>30428</v>
      </c>
      <c r="H96" s="4">
        <f t="shared" si="2"/>
        <v>5.6558000000000002</v>
      </c>
      <c r="I96">
        <f t="shared" si="3"/>
        <v>1150</v>
      </c>
    </row>
    <row r="97" spans="1:9" ht="14.25" customHeight="1" x14ac:dyDescent="0.25">
      <c r="A97" s="1" t="s">
        <v>50</v>
      </c>
      <c r="B97" s="1" t="s">
        <v>3</v>
      </c>
      <c r="C97" s="1">
        <v>454</v>
      </c>
      <c r="D97" s="1">
        <v>105</v>
      </c>
      <c r="E97" s="1">
        <v>121091</v>
      </c>
      <c r="F97" s="1">
        <v>7.97</v>
      </c>
      <c r="G97" s="1">
        <v>9269</v>
      </c>
      <c r="H97" s="4">
        <f t="shared" si="2"/>
        <v>5.5587999999999997</v>
      </c>
      <c r="I97">
        <f t="shared" si="3"/>
        <v>349</v>
      </c>
    </row>
    <row r="98" spans="1:9" ht="14.25" customHeight="1" x14ac:dyDescent="0.25">
      <c r="A98" s="1" t="s">
        <v>9</v>
      </c>
      <c r="B98" s="1" t="s">
        <v>5</v>
      </c>
      <c r="C98" s="1">
        <v>187</v>
      </c>
      <c r="D98" s="1">
        <v>236</v>
      </c>
      <c r="E98" s="1">
        <v>51087</v>
      </c>
      <c r="F98" s="1">
        <v>9.41</v>
      </c>
      <c r="G98" s="1">
        <v>29533</v>
      </c>
      <c r="H98" s="4">
        <f t="shared" si="2"/>
        <v>5.7156000000000002</v>
      </c>
      <c r="I98">
        <f t="shared" si="3"/>
        <v>-49</v>
      </c>
    </row>
    <row r="99" spans="1:9" ht="14.25" customHeight="1" x14ac:dyDescent="0.25">
      <c r="A99" s="1" t="s">
        <v>9</v>
      </c>
      <c r="B99" s="1" t="s">
        <v>7</v>
      </c>
      <c r="C99" s="1">
        <v>513</v>
      </c>
      <c r="D99" s="1">
        <v>441</v>
      </c>
      <c r="E99" s="1">
        <v>338847</v>
      </c>
      <c r="F99" s="1">
        <v>2.68</v>
      </c>
      <c r="G99" s="1">
        <v>39997</v>
      </c>
      <c r="H99" s="4">
        <f t="shared" si="2"/>
        <v>5.6486000000000001</v>
      </c>
      <c r="I99">
        <f t="shared" si="3"/>
        <v>72</v>
      </c>
    </row>
    <row r="100" spans="1:9" ht="14.25" customHeight="1" x14ac:dyDescent="0.25">
      <c r="A100" s="1" t="s">
        <v>9</v>
      </c>
      <c r="B100" s="1" t="s">
        <v>1</v>
      </c>
      <c r="C100" s="1">
        <v>628</v>
      </c>
      <c r="D100" s="1">
        <v>183</v>
      </c>
      <c r="E100" s="1">
        <v>487523</v>
      </c>
      <c r="F100" s="1">
        <v>7.32</v>
      </c>
      <c r="G100" s="1">
        <v>5391</v>
      </c>
      <c r="H100" s="4">
        <f t="shared" si="2"/>
        <v>5.6558000000000002</v>
      </c>
      <c r="I100">
        <f t="shared" si="3"/>
        <v>445</v>
      </c>
    </row>
    <row r="101" spans="1:9" ht="14.25" customHeight="1" x14ac:dyDescent="0.25">
      <c r="A101" s="1" t="s">
        <v>9</v>
      </c>
      <c r="B101" s="1" t="s">
        <v>3</v>
      </c>
      <c r="C101" s="1">
        <v>278</v>
      </c>
      <c r="D101" s="1">
        <v>218</v>
      </c>
      <c r="E101" s="1">
        <v>301695</v>
      </c>
      <c r="F101" s="1">
        <v>4.68</v>
      </c>
      <c r="G101" s="1">
        <v>22373</v>
      </c>
      <c r="H101" s="4">
        <f t="shared" si="2"/>
        <v>5.5587999999999997</v>
      </c>
      <c r="I101">
        <f t="shared" si="3"/>
        <v>60</v>
      </c>
    </row>
    <row r="102" spans="1:9" ht="14.25" customHeight="1" x14ac:dyDescent="0.25">
      <c r="A102" s="1" t="s">
        <v>17</v>
      </c>
      <c r="B102" s="1" t="s">
        <v>5</v>
      </c>
      <c r="C102" s="1">
        <v>1854</v>
      </c>
      <c r="D102" s="1">
        <v>161</v>
      </c>
      <c r="E102" s="1">
        <v>282466</v>
      </c>
      <c r="F102" s="1">
        <v>5.17</v>
      </c>
      <c r="G102" s="1">
        <v>1810</v>
      </c>
      <c r="H102" s="4">
        <f t="shared" si="2"/>
        <v>5.7156000000000002</v>
      </c>
      <c r="I102">
        <f t="shared" si="3"/>
        <v>1693</v>
      </c>
    </row>
    <row r="103" spans="1:9" ht="14.25" customHeight="1" x14ac:dyDescent="0.25">
      <c r="A103" s="1" t="s">
        <v>17</v>
      </c>
      <c r="B103" s="1" t="s">
        <v>7</v>
      </c>
      <c r="C103" s="1">
        <v>1710</v>
      </c>
      <c r="D103" s="1">
        <v>378</v>
      </c>
      <c r="E103" s="1">
        <v>336661</v>
      </c>
      <c r="F103" s="1">
        <v>6.2</v>
      </c>
      <c r="G103" s="1">
        <v>28498</v>
      </c>
      <c r="H103" s="4">
        <f t="shared" si="2"/>
        <v>5.6486000000000001</v>
      </c>
      <c r="I103">
        <f t="shared" si="3"/>
        <v>1332</v>
      </c>
    </row>
    <row r="104" spans="1:9" ht="14.25" customHeight="1" x14ac:dyDescent="0.25">
      <c r="A104" s="1" t="s">
        <v>17</v>
      </c>
      <c r="B104" s="1" t="s">
        <v>1</v>
      </c>
      <c r="C104" s="1">
        <v>330</v>
      </c>
      <c r="D104" s="1">
        <v>232</v>
      </c>
      <c r="E104" s="1">
        <v>88455</v>
      </c>
      <c r="F104" s="1">
        <v>2.69</v>
      </c>
      <c r="G104" s="1">
        <v>39530</v>
      </c>
      <c r="H104" s="4">
        <f t="shared" si="2"/>
        <v>5.6558000000000002</v>
      </c>
      <c r="I104">
        <f t="shared" si="3"/>
        <v>98</v>
      </c>
    </row>
    <row r="105" spans="1:9" ht="14.25" customHeight="1" x14ac:dyDescent="0.25">
      <c r="A105" s="1" t="s">
        <v>17</v>
      </c>
      <c r="B105" s="1" t="s">
        <v>3</v>
      </c>
      <c r="C105" s="1">
        <v>1293</v>
      </c>
      <c r="D105" s="1">
        <v>408</v>
      </c>
      <c r="E105" s="1">
        <v>62535</v>
      </c>
      <c r="F105" s="1">
        <v>8.9</v>
      </c>
      <c r="G105" s="1">
        <v>37876</v>
      </c>
      <c r="H105" s="4">
        <f t="shared" si="2"/>
        <v>5.5587999999999997</v>
      </c>
      <c r="I105">
        <f t="shared" si="3"/>
        <v>885</v>
      </c>
    </row>
    <row r="106" spans="1:9" ht="14.25" customHeight="1" x14ac:dyDescent="0.25">
      <c r="A106" s="1" t="s">
        <v>51</v>
      </c>
      <c r="B106" s="1" t="s">
        <v>5</v>
      </c>
      <c r="C106" s="1">
        <v>1696</v>
      </c>
      <c r="D106" s="1">
        <v>71</v>
      </c>
      <c r="E106" s="1">
        <v>421957</v>
      </c>
      <c r="F106" s="1">
        <v>3.79</v>
      </c>
      <c r="G106" s="1">
        <v>36103</v>
      </c>
      <c r="H106" s="4">
        <f t="shared" si="2"/>
        <v>5.7156000000000002</v>
      </c>
      <c r="I106">
        <f t="shared" si="3"/>
        <v>1625</v>
      </c>
    </row>
    <row r="107" spans="1:9" ht="14.25" customHeight="1" x14ac:dyDescent="0.25">
      <c r="A107" s="1" t="s">
        <v>51</v>
      </c>
      <c r="B107" s="1" t="s">
        <v>7</v>
      </c>
      <c r="C107" s="1">
        <v>1902</v>
      </c>
      <c r="D107" s="1">
        <v>196</v>
      </c>
      <c r="E107" s="1">
        <v>470269</v>
      </c>
      <c r="F107" s="1">
        <v>4.79</v>
      </c>
      <c r="G107" s="1">
        <v>26103</v>
      </c>
      <c r="H107" s="4">
        <f t="shared" si="2"/>
        <v>5.6486000000000001</v>
      </c>
      <c r="I107">
        <f t="shared" si="3"/>
        <v>1706</v>
      </c>
    </row>
    <row r="108" spans="1:9" ht="14.25" customHeight="1" x14ac:dyDescent="0.25">
      <c r="A108" s="1" t="s">
        <v>51</v>
      </c>
      <c r="B108" s="1" t="s">
        <v>1</v>
      </c>
      <c r="C108" s="1">
        <v>1441</v>
      </c>
      <c r="D108" s="1">
        <v>268</v>
      </c>
      <c r="E108" s="1">
        <v>309904</v>
      </c>
      <c r="F108" s="1">
        <v>6.37</v>
      </c>
      <c r="G108" s="1">
        <v>3455</v>
      </c>
      <c r="H108" s="4">
        <f t="shared" si="2"/>
        <v>5.6558000000000002</v>
      </c>
      <c r="I108">
        <f t="shared" si="3"/>
        <v>1173</v>
      </c>
    </row>
    <row r="109" spans="1:9" ht="14.25" customHeight="1" x14ac:dyDescent="0.25">
      <c r="A109" s="1" t="s">
        <v>51</v>
      </c>
      <c r="B109" s="1" t="s">
        <v>3</v>
      </c>
      <c r="C109" s="1">
        <v>452</v>
      </c>
      <c r="D109" s="1">
        <v>161</v>
      </c>
      <c r="E109" s="1">
        <v>221274</v>
      </c>
      <c r="F109" s="1">
        <v>2.65</v>
      </c>
      <c r="G109" s="1">
        <v>40888</v>
      </c>
      <c r="H109" s="4">
        <f t="shared" si="2"/>
        <v>5.5587999999999997</v>
      </c>
      <c r="I109">
        <f t="shared" si="3"/>
        <v>291</v>
      </c>
    </row>
    <row r="110" spans="1:9" ht="14.25" customHeight="1" x14ac:dyDescent="0.25">
      <c r="A110" s="1" t="s">
        <v>25</v>
      </c>
      <c r="B110" s="1" t="s">
        <v>5</v>
      </c>
      <c r="C110" s="1">
        <v>1494</v>
      </c>
      <c r="D110" s="1">
        <v>375</v>
      </c>
      <c r="E110" s="1">
        <v>220616</v>
      </c>
      <c r="F110" s="1">
        <v>1.81</v>
      </c>
      <c r="G110" s="1">
        <v>22724</v>
      </c>
      <c r="H110" s="4">
        <f t="shared" si="2"/>
        <v>5.7156000000000002</v>
      </c>
      <c r="I110">
        <f t="shared" si="3"/>
        <v>1119</v>
      </c>
    </row>
    <row r="111" spans="1:9" ht="14.25" customHeight="1" x14ac:dyDescent="0.25">
      <c r="A111" s="1" t="s">
        <v>25</v>
      </c>
      <c r="B111" s="1" t="s">
        <v>7</v>
      </c>
      <c r="C111" s="1">
        <v>1514</v>
      </c>
      <c r="D111" s="1">
        <v>141</v>
      </c>
      <c r="E111" s="1">
        <v>35842</v>
      </c>
      <c r="F111" s="1">
        <v>7.47</v>
      </c>
      <c r="G111" s="1">
        <v>18601</v>
      </c>
      <c r="H111" s="4">
        <f t="shared" si="2"/>
        <v>5.6486000000000001</v>
      </c>
      <c r="I111">
        <f t="shared" si="3"/>
        <v>1373</v>
      </c>
    </row>
    <row r="112" spans="1:9" ht="14.25" customHeight="1" x14ac:dyDescent="0.25">
      <c r="A112" s="1" t="s">
        <v>25</v>
      </c>
      <c r="B112" s="1" t="s">
        <v>1</v>
      </c>
      <c r="C112" s="1">
        <v>1937</v>
      </c>
      <c r="D112" s="1">
        <v>210</v>
      </c>
      <c r="E112" s="1">
        <v>20607</v>
      </c>
      <c r="F112" s="1">
        <v>4.2</v>
      </c>
      <c r="G112" s="1">
        <v>20861</v>
      </c>
      <c r="H112" s="4">
        <f t="shared" si="2"/>
        <v>5.6558000000000002</v>
      </c>
      <c r="I112">
        <f t="shared" si="3"/>
        <v>1727</v>
      </c>
    </row>
    <row r="113" spans="1:9" ht="14.25" customHeight="1" x14ac:dyDescent="0.25">
      <c r="A113" s="1" t="s">
        <v>25</v>
      </c>
      <c r="B113" s="1" t="s">
        <v>3</v>
      </c>
      <c r="C113" s="1">
        <v>736</v>
      </c>
      <c r="D113" s="1">
        <v>163</v>
      </c>
      <c r="E113" s="1">
        <v>451894</v>
      </c>
      <c r="F113" s="1">
        <v>5.43</v>
      </c>
      <c r="G113" s="1">
        <v>46625</v>
      </c>
      <c r="H113" s="4">
        <f t="shared" si="2"/>
        <v>5.5587999999999997</v>
      </c>
      <c r="I113">
        <f t="shared" si="3"/>
        <v>573</v>
      </c>
    </row>
    <row r="114" spans="1:9" ht="14.25" customHeight="1" x14ac:dyDescent="0.25">
      <c r="A114" s="1" t="s">
        <v>14</v>
      </c>
      <c r="B114" s="1" t="s">
        <v>5</v>
      </c>
      <c r="C114" s="1">
        <v>1502</v>
      </c>
      <c r="D114" s="1">
        <v>70</v>
      </c>
      <c r="E114" s="1">
        <v>465553</v>
      </c>
      <c r="F114" s="1">
        <v>3.32</v>
      </c>
      <c r="G114" s="1">
        <v>20692</v>
      </c>
      <c r="H114" s="4">
        <f t="shared" si="2"/>
        <v>5.7156000000000002</v>
      </c>
      <c r="I114">
        <f t="shared" si="3"/>
        <v>1432</v>
      </c>
    </row>
    <row r="115" spans="1:9" ht="14.25" customHeight="1" x14ac:dyDescent="0.25">
      <c r="A115" s="1" t="s">
        <v>14</v>
      </c>
      <c r="B115" s="1" t="s">
        <v>7</v>
      </c>
      <c r="C115" s="1">
        <v>1623</v>
      </c>
      <c r="D115" s="1">
        <v>246</v>
      </c>
      <c r="E115" s="1">
        <v>415815</v>
      </c>
      <c r="F115" s="1">
        <v>8.11</v>
      </c>
      <c r="G115" s="1">
        <v>18656</v>
      </c>
      <c r="H115" s="4">
        <f t="shared" si="2"/>
        <v>5.6486000000000001</v>
      </c>
      <c r="I115">
        <f t="shared" si="3"/>
        <v>1377</v>
      </c>
    </row>
    <row r="116" spans="1:9" ht="14.25" customHeight="1" x14ac:dyDescent="0.25">
      <c r="A116" s="1" t="s">
        <v>14</v>
      </c>
      <c r="B116" s="1" t="s">
        <v>1</v>
      </c>
      <c r="C116" s="1">
        <v>1592</v>
      </c>
      <c r="D116" s="1">
        <v>233</v>
      </c>
      <c r="E116" s="1">
        <v>327183</v>
      </c>
      <c r="F116" s="1">
        <v>6.66</v>
      </c>
      <c r="G116" s="1">
        <v>13316</v>
      </c>
      <c r="H116" s="4">
        <f t="shared" si="2"/>
        <v>5.6558000000000002</v>
      </c>
      <c r="I116">
        <f t="shared" si="3"/>
        <v>1359</v>
      </c>
    </row>
    <row r="117" spans="1:9" ht="14.25" customHeight="1" x14ac:dyDescent="0.25">
      <c r="A117" s="1" t="s">
        <v>14</v>
      </c>
      <c r="B117" s="1" t="s">
        <v>3</v>
      </c>
      <c r="C117" s="1">
        <v>1004</v>
      </c>
      <c r="D117" s="1">
        <v>128</v>
      </c>
      <c r="E117" s="1">
        <v>488901</v>
      </c>
      <c r="F117" s="1">
        <v>8.09</v>
      </c>
      <c r="G117" s="1">
        <v>49558</v>
      </c>
      <c r="H117" s="4">
        <f t="shared" si="2"/>
        <v>5.5587999999999997</v>
      </c>
      <c r="I117">
        <f t="shared" si="3"/>
        <v>876</v>
      </c>
    </row>
    <row r="118" spans="1:9" ht="14.25" customHeight="1" x14ac:dyDescent="0.25">
      <c r="A118" s="1" t="s">
        <v>2</v>
      </c>
      <c r="B118" s="1" t="s">
        <v>5</v>
      </c>
      <c r="C118" s="1">
        <v>1092</v>
      </c>
      <c r="D118" s="1">
        <v>408</v>
      </c>
      <c r="E118" s="1">
        <v>280795</v>
      </c>
      <c r="F118" s="1">
        <v>8.44</v>
      </c>
      <c r="G118" s="1">
        <v>4683</v>
      </c>
      <c r="H118" s="4">
        <f t="shared" si="2"/>
        <v>5.7156000000000002</v>
      </c>
      <c r="I118">
        <f t="shared" si="3"/>
        <v>684</v>
      </c>
    </row>
    <row r="119" spans="1:9" ht="14.25" customHeight="1" x14ac:dyDescent="0.25">
      <c r="A119" s="1" t="s">
        <v>2</v>
      </c>
      <c r="B119" s="1" t="s">
        <v>7</v>
      </c>
      <c r="C119" s="1">
        <v>1155</v>
      </c>
      <c r="D119" s="1">
        <v>425</v>
      </c>
      <c r="E119" s="1">
        <v>93347</v>
      </c>
      <c r="F119" s="1">
        <v>2.02</v>
      </c>
      <c r="G119" s="1">
        <v>47502</v>
      </c>
      <c r="H119" s="4">
        <f t="shared" si="2"/>
        <v>5.6486000000000001</v>
      </c>
      <c r="I119">
        <f t="shared" si="3"/>
        <v>730</v>
      </c>
    </row>
    <row r="120" spans="1:9" ht="14.25" customHeight="1" x14ac:dyDescent="0.25">
      <c r="A120" s="1" t="s">
        <v>2</v>
      </c>
      <c r="B120" s="1" t="s">
        <v>1</v>
      </c>
      <c r="C120" s="1">
        <v>1137</v>
      </c>
      <c r="D120" s="1">
        <v>226</v>
      </c>
      <c r="E120" s="1">
        <v>81119</v>
      </c>
      <c r="F120" s="1">
        <v>7.74</v>
      </c>
      <c r="G120" s="1">
        <v>35359</v>
      </c>
      <c r="H120" s="4">
        <f t="shared" si="2"/>
        <v>5.6558000000000002</v>
      </c>
      <c r="I120">
        <f t="shared" si="3"/>
        <v>911</v>
      </c>
    </row>
    <row r="121" spans="1:9" ht="14.25" customHeight="1" x14ac:dyDescent="0.25">
      <c r="A121" s="1" t="s">
        <v>2</v>
      </c>
      <c r="B121" s="1" t="s">
        <v>3</v>
      </c>
      <c r="C121" s="1">
        <v>1900</v>
      </c>
      <c r="D121" s="1">
        <v>311</v>
      </c>
      <c r="E121" s="1">
        <v>25177</v>
      </c>
      <c r="F121" s="1">
        <v>2.89</v>
      </c>
      <c r="G121" s="1">
        <v>14154</v>
      </c>
      <c r="H121" s="4">
        <f t="shared" si="2"/>
        <v>5.5587999999999997</v>
      </c>
      <c r="I121">
        <f t="shared" si="3"/>
        <v>1589</v>
      </c>
    </row>
    <row r="122" spans="1:9" ht="14.25" customHeight="1" x14ac:dyDescent="0.25">
      <c r="A122" s="1" t="s">
        <v>52</v>
      </c>
      <c r="B122" s="1" t="s">
        <v>5</v>
      </c>
      <c r="C122" s="1">
        <v>1814</v>
      </c>
      <c r="D122" s="1">
        <v>49</v>
      </c>
      <c r="E122" s="1">
        <v>140804</v>
      </c>
      <c r="F122" s="1">
        <v>1.76</v>
      </c>
      <c r="G122" s="1">
        <v>4313</v>
      </c>
      <c r="H122" s="4">
        <f t="shared" si="2"/>
        <v>5.7156000000000002</v>
      </c>
      <c r="I122">
        <f t="shared" si="3"/>
        <v>1765</v>
      </c>
    </row>
    <row r="123" spans="1:9" ht="14.25" customHeight="1" x14ac:dyDescent="0.25">
      <c r="A123" s="1" t="s">
        <v>52</v>
      </c>
      <c r="B123" s="1" t="s">
        <v>7</v>
      </c>
      <c r="C123" s="1">
        <v>1980</v>
      </c>
      <c r="D123" s="1">
        <v>204</v>
      </c>
      <c r="E123" s="1">
        <v>379431</v>
      </c>
      <c r="F123" s="1">
        <v>3.09</v>
      </c>
      <c r="G123" s="1">
        <v>25140</v>
      </c>
      <c r="H123" s="4">
        <f t="shared" si="2"/>
        <v>5.6486000000000001</v>
      </c>
      <c r="I123">
        <f t="shared" si="3"/>
        <v>1776</v>
      </c>
    </row>
    <row r="124" spans="1:9" ht="14.25" customHeight="1" x14ac:dyDescent="0.25">
      <c r="A124" s="1" t="s">
        <v>52</v>
      </c>
      <c r="B124" s="1" t="s">
        <v>1</v>
      </c>
      <c r="C124" s="1">
        <v>1786</v>
      </c>
      <c r="D124" s="1">
        <v>257</v>
      </c>
      <c r="E124" s="1">
        <v>274831</v>
      </c>
      <c r="F124" s="1">
        <v>4.68</v>
      </c>
      <c r="G124" s="1">
        <v>9118</v>
      </c>
      <c r="H124" s="4">
        <f t="shared" si="2"/>
        <v>5.6558000000000002</v>
      </c>
      <c r="I124">
        <f t="shared" si="3"/>
        <v>1529</v>
      </c>
    </row>
    <row r="125" spans="1:9" ht="14.25" customHeight="1" x14ac:dyDescent="0.25">
      <c r="A125" s="1" t="s">
        <v>52</v>
      </c>
      <c r="B125" s="1" t="s">
        <v>3</v>
      </c>
      <c r="C125" s="1">
        <v>1495</v>
      </c>
      <c r="D125" s="1">
        <v>35</v>
      </c>
      <c r="E125" s="1">
        <v>136845</v>
      </c>
      <c r="F125" s="1">
        <v>4.4800000000000004</v>
      </c>
      <c r="G125" s="1">
        <v>39931</v>
      </c>
      <c r="H125" s="4">
        <f t="shared" si="2"/>
        <v>5.5587999999999997</v>
      </c>
      <c r="I125">
        <f t="shared" si="3"/>
        <v>1460</v>
      </c>
    </row>
    <row r="126" spans="1:9" ht="14.25" customHeight="1" x14ac:dyDescent="0.25">
      <c r="A126" s="1" t="s">
        <v>15</v>
      </c>
      <c r="B126" s="1" t="s">
        <v>5</v>
      </c>
      <c r="C126" s="1">
        <v>1013</v>
      </c>
      <c r="D126" s="1">
        <v>110</v>
      </c>
      <c r="E126" s="1">
        <v>466382</v>
      </c>
      <c r="F126" s="1">
        <v>5.3</v>
      </c>
      <c r="G126" s="1">
        <v>37132</v>
      </c>
      <c r="H126" s="4">
        <f t="shared" si="2"/>
        <v>5.7156000000000002</v>
      </c>
      <c r="I126">
        <f t="shared" si="3"/>
        <v>903</v>
      </c>
    </row>
    <row r="127" spans="1:9" ht="14.25" customHeight="1" x14ac:dyDescent="0.25">
      <c r="A127" s="1" t="s">
        <v>15</v>
      </c>
      <c r="B127" s="1" t="s">
        <v>7</v>
      </c>
      <c r="C127" s="1">
        <v>816</v>
      </c>
      <c r="D127" s="1">
        <v>196</v>
      </c>
      <c r="E127" s="1">
        <v>95728</v>
      </c>
      <c r="F127" s="1">
        <v>8.1999999999999993</v>
      </c>
      <c r="G127" s="1">
        <v>17951</v>
      </c>
      <c r="H127" s="4">
        <f t="shared" si="2"/>
        <v>5.6486000000000001</v>
      </c>
      <c r="I127">
        <f t="shared" si="3"/>
        <v>620</v>
      </c>
    </row>
    <row r="128" spans="1:9" ht="14.25" customHeight="1" x14ac:dyDescent="0.25">
      <c r="A128" s="1" t="s">
        <v>15</v>
      </c>
      <c r="B128" s="1" t="s">
        <v>1</v>
      </c>
      <c r="C128" s="1">
        <v>1633</v>
      </c>
      <c r="D128" s="1">
        <v>445</v>
      </c>
      <c r="E128" s="1">
        <v>371156</v>
      </c>
      <c r="F128" s="1">
        <v>2.2200000000000002</v>
      </c>
      <c r="G128" s="1">
        <v>2798</v>
      </c>
      <c r="H128" s="4">
        <f t="shared" si="2"/>
        <v>5.6558000000000002</v>
      </c>
      <c r="I128">
        <f t="shared" si="3"/>
        <v>1188</v>
      </c>
    </row>
    <row r="129" spans="1:9" ht="14.25" customHeight="1" x14ac:dyDescent="0.25">
      <c r="A129" s="1" t="s">
        <v>15</v>
      </c>
      <c r="B129" s="1" t="s">
        <v>3</v>
      </c>
      <c r="C129" s="1">
        <v>891</v>
      </c>
      <c r="D129" s="1">
        <v>45</v>
      </c>
      <c r="E129" s="1">
        <v>95410</v>
      </c>
      <c r="F129" s="1">
        <v>8.33</v>
      </c>
      <c r="G129" s="1">
        <v>15045</v>
      </c>
      <c r="H129" s="4">
        <f t="shared" si="2"/>
        <v>5.5587999999999997</v>
      </c>
      <c r="I129">
        <f t="shared" si="3"/>
        <v>846</v>
      </c>
    </row>
    <row r="130" spans="1:9" ht="14.25" customHeight="1" x14ac:dyDescent="0.25">
      <c r="A130" s="1" t="s">
        <v>53</v>
      </c>
      <c r="B130" s="1" t="s">
        <v>5</v>
      </c>
      <c r="C130" s="1">
        <v>1855</v>
      </c>
      <c r="D130" s="1">
        <v>133</v>
      </c>
      <c r="E130" s="1">
        <v>349413</v>
      </c>
      <c r="F130" s="1">
        <v>3.3</v>
      </c>
      <c r="G130" s="1">
        <v>14548</v>
      </c>
      <c r="H130" s="4">
        <f t="shared" si="2"/>
        <v>5.7156000000000002</v>
      </c>
      <c r="I130">
        <f t="shared" si="3"/>
        <v>1722</v>
      </c>
    </row>
    <row r="131" spans="1:9" ht="14.25" customHeight="1" x14ac:dyDescent="0.25">
      <c r="A131" s="1" t="s">
        <v>53</v>
      </c>
      <c r="B131" s="1" t="s">
        <v>7</v>
      </c>
      <c r="C131" s="1">
        <v>651</v>
      </c>
      <c r="D131" s="1">
        <v>353</v>
      </c>
      <c r="E131" s="1">
        <v>224699</v>
      </c>
      <c r="F131" s="1">
        <v>5.61</v>
      </c>
      <c r="G131" s="1">
        <v>45708</v>
      </c>
      <c r="H131" s="4">
        <f t="shared" ref="H131:H194" si="4">AVERAGEIF(B:B,B131,F:F)</f>
        <v>5.6486000000000001</v>
      </c>
      <c r="I131">
        <f t="shared" ref="I131:I194" si="5">C131-D131</f>
        <v>298</v>
      </c>
    </row>
    <row r="132" spans="1:9" ht="14.25" customHeight="1" x14ac:dyDescent="0.25">
      <c r="A132" s="1" t="s">
        <v>53</v>
      </c>
      <c r="B132" s="1" t="s">
        <v>1</v>
      </c>
      <c r="C132" s="1">
        <v>118</v>
      </c>
      <c r="D132" s="1">
        <v>262</v>
      </c>
      <c r="E132" s="1">
        <v>487896</v>
      </c>
      <c r="F132" s="1">
        <v>2.56</v>
      </c>
      <c r="G132" s="1">
        <v>12350</v>
      </c>
      <c r="H132" s="4">
        <f t="shared" si="4"/>
        <v>5.6558000000000002</v>
      </c>
      <c r="I132">
        <f t="shared" si="5"/>
        <v>-144</v>
      </c>
    </row>
    <row r="133" spans="1:9" ht="14.25" customHeight="1" x14ac:dyDescent="0.25">
      <c r="A133" s="1" t="s">
        <v>53</v>
      </c>
      <c r="B133" s="1" t="s">
        <v>3</v>
      </c>
      <c r="C133" s="1">
        <v>1331</v>
      </c>
      <c r="D133" s="1">
        <v>430</v>
      </c>
      <c r="E133" s="1">
        <v>14437</v>
      </c>
      <c r="F133" s="1">
        <v>3.29</v>
      </c>
      <c r="G133" s="1">
        <v>40868</v>
      </c>
      <c r="H133" s="4">
        <f t="shared" si="4"/>
        <v>5.5587999999999997</v>
      </c>
      <c r="I133">
        <f t="shared" si="5"/>
        <v>901</v>
      </c>
    </row>
    <row r="134" spans="1:9" ht="14.25" customHeight="1" x14ac:dyDescent="0.25">
      <c r="A134" s="1" t="s">
        <v>54</v>
      </c>
      <c r="B134" s="1" t="s">
        <v>5</v>
      </c>
      <c r="C134" s="1">
        <v>1748</v>
      </c>
      <c r="D134" s="1">
        <v>176</v>
      </c>
      <c r="E134" s="1">
        <v>383681</v>
      </c>
      <c r="F134" s="1">
        <v>9.24</v>
      </c>
      <c r="G134" s="1">
        <v>43122</v>
      </c>
      <c r="H134" s="4">
        <f t="shared" si="4"/>
        <v>5.7156000000000002</v>
      </c>
      <c r="I134">
        <f t="shared" si="5"/>
        <v>1572</v>
      </c>
    </row>
    <row r="135" spans="1:9" ht="14.25" customHeight="1" x14ac:dyDescent="0.25">
      <c r="A135" s="1" t="s">
        <v>54</v>
      </c>
      <c r="B135" s="1" t="s">
        <v>7</v>
      </c>
      <c r="C135" s="1">
        <v>663</v>
      </c>
      <c r="D135" s="1">
        <v>236</v>
      </c>
      <c r="E135" s="1">
        <v>479490</v>
      </c>
      <c r="F135" s="1">
        <v>4.51</v>
      </c>
      <c r="G135" s="1">
        <v>23853</v>
      </c>
      <c r="H135" s="4">
        <f t="shared" si="4"/>
        <v>5.6486000000000001</v>
      </c>
      <c r="I135">
        <f t="shared" si="5"/>
        <v>427</v>
      </c>
    </row>
    <row r="136" spans="1:9" ht="14.25" customHeight="1" x14ac:dyDescent="0.25">
      <c r="A136" s="1" t="s">
        <v>54</v>
      </c>
      <c r="B136" s="1" t="s">
        <v>1</v>
      </c>
      <c r="C136" s="1">
        <v>1040</v>
      </c>
      <c r="D136" s="1">
        <v>149</v>
      </c>
      <c r="E136" s="1">
        <v>124404</v>
      </c>
      <c r="F136" s="1">
        <v>5.23</v>
      </c>
      <c r="G136" s="1">
        <v>45380</v>
      </c>
      <c r="H136" s="4">
        <f t="shared" si="4"/>
        <v>5.6558000000000002</v>
      </c>
      <c r="I136">
        <f t="shared" si="5"/>
        <v>891</v>
      </c>
    </row>
    <row r="137" spans="1:9" ht="14.25" customHeight="1" x14ac:dyDescent="0.25">
      <c r="A137" s="1" t="s">
        <v>54</v>
      </c>
      <c r="B137" s="1" t="s">
        <v>3</v>
      </c>
      <c r="C137" s="1">
        <v>1166</v>
      </c>
      <c r="D137" s="1">
        <v>442</v>
      </c>
      <c r="E137" s="1">
        <v>336949</v>
      </c>
      <c r="F137" s="1">
        <v>4.68</v>
      </c>
      <c r="G137" s="1">
        <v>7705</v>
      </c>
      <c r="H137" s="4">
        <f t="shared" si="4"/>
        <v>5.5587999999999997</v>
      </c>
      <c r="I137">
        <f t="shared" si="5"/>
        <v>724</v>
      </c>
    </row>
    <row r="138" spans="1:9" ht="14.25" customHeight="1" x14ac:dyDescent="0.25">
      <c r="A138" s="1" t="s">
        <v>26</v>
      </c>
      <c r="B138" s="1" t="s">
        <v>5</v>
      </c>
      <c r="C138" s="1">
        <v>115</v>
      </c>
      <c r="D138" s="1">
        <v>281</v>
      </c>
      <c r="E138" s="1">
        <v>357265</v>
      </c>
      <c r="F138" s="1">
        <v>9.23</v>
      </c>
      <c r="G138" s="1">
        <v>25525</v>
      </c>
      <c r="H138" s="4">
        <f t="shared" si="4"/>
        <v>5.7156000000000002</v>
      </c>
      <c r="I138">
        <f t="shared" si="5"/>
        <v>-166</v>
      </c>
    </row>
    <row r="139" spans="1:9" ht="14.25" customHeight="1" x14ac:dyDescent="0.25">
      <c r="A139" s="1" t="s">
        <v>26</v>
      </c>
      <c r="B139" s="1" t="s">
        <v>7</v>
      </c>
      <c r="C139" s="1">
        <v>1249</v>
      </c>
      <c r="D139" s="1">
        <v>351</v>
      </c>
      <c r="E139" s="1">
        <v>321307</v>
      </c>
      <c r="F139" s="1">
        <v>6.37</v>
      </c>
      <c r="G139" s="1">
        <v>20560</v>
      </c>
      <c r="H139" s="4">
        <f t="shared" si="4"/>
        <v>5.6486000000000001</v>
      </c>
      <c r="I139">
        <f t="shared" si="5"/>
        <v>898</v>
      </c>
    </row>
    <row r="140" spans="1:9" ht="14.25" customHeight="1" x14ac:dyDescent="0.25">
      <c r="A140" s="1" t="s">
        <v>26</v>
      </c>
      <c r="B140" s="1" t="s">
        <v>1</v>
      </c>
      <c r="C140" s="1">
        <v>1501</v>
      </c>
      <c r="D140" s="1">
        <v>75</v>
      </c>
      <c r="E140" s="1">
        <v>262569</v>
      </c>
      <c r="F140" s="1">
        <v>2.0099999999999998</v>
      </c>
      <c r="G140" s="1">
        <v>19119</v>
      </c>
      <c r="H140" s="4">
        <f t="shared" si="4"/>
        <v>5.6558000000000002</v>
      </c>
      <c r="I140">
        <f t="shared" si="5"/>
        <v>1426</v>
      </c>
    </row>
    <row r="141" spans="1:9" ht="14.25" customHeight="1" x14ac:dyDescent="0.25">
      <c r="A141" s="1" t="s">
        <v>26</v>
      </c>
      <c r="B141" s="1" t="s">
        <v>3</v>
      </c>
      <c r="C141" s="1">
        <v>1411</v>
      </c>
      <c r="D141" s="1">
        <v>186</v>
      </c>
      <c r="E141" s="1">
        <v>461669</v>
      </c>
      <c r="F141" s="1">
        <v>3.72</v>
      </c>
      <c r="G141" s="1">
        <v>43999</v>
      </c>
      <c r="H141" s="4">
        <f t="shared" si="4"/>
        <v>5.5587999999999997</v>
      </c>
      <c r="I141">
        <f t="shared" si="5"/>
        <v>1225</v>
      </c>
    </row>
    <row r="142" spans="1:9" ht="14.25" customHeight="1" x14ac:dyDescent="0.25">
      <c r="A142" s="1" t="s">
        <v>55</v>
      </c>
      <c r="B142" s="1" t="s">
        <v>5</v>
      </c>
      <c r="C142" s="1">
        <v>1556</v>
      </c>
      <c r="D142" s="1">
        <v>476</v>
      </c>
      <c r="E142" s="1">
        <v>351556</v>
      </c>
      <c r="F142" s="1">
        <v>3.89</v>
      </c>
      <c r="G142" s="1">
        <v>10825</v>
      </c>
      <c r="H142" s="4">
        <f t="shared" si="4"/>
        <v>5.7156000000000002</v>
      </c>
      <c r="I142">
        <f t="shared" si="5"/>
        <v>1080</v>
      </c>
    </row>
    <row r="143" spans="1:9" ht="14.25" customHeight="1" x14ac:dyDescent="0.25">
      <c r="A143" s="1" t="s">
        <v>55</v>
      </c>
      <c r="B143" s="1" t="s">
        <v>7</v>
      </c>
      <c r="C143" s="1">
        <v>1159</v>
      </c>
      <c r="D143" s="1">
        <v>411</v>
      </c>
      <c r="E143" s="1">
        <v>135987</v>
      </c>
      <c r="F143" s="1">
        <v>8.6999999999999993</v>
      </c>
      <c r="G143" s="1">
        <v>40323</v>
      </c>
      <c r="H143" s="4">
        <f t="shared" si="4"/>
        <v>5.6486000000000001</v>
      </c>
      <c r="I143">
        <f t="shared" si="5"/>
        <v>748</v>
      </c>
    </row>
    <row r="144" spans="1:9" ht="14.25" customHeight="1" x14ac:dyDescent="0.25">
      <c r="A144" s="1" t="s">
        <v>55</v>
      </c>
      <c r="B144" s="1" t="s">
        <v>1</v>
      </c>
      <c r="C144" s="1">
        <v>927</v>
      </c>
      <c r="D144" s="1">
        <v>358</v>
      </c>
      <c r="E144" s="1">
        <v>177554</v>
      </c>
      <c r="F144" s="1">
        <v>6.95</v>
      </c>
      <c r="G144" s="1">
        <v>48270</v>
      </c>
      <c r="H144" s="4">
        <f t="shared" si="4"/>
        <v>5.6558000000000002</v>
      </c>
      <c r="I144">
        <f t="shared" si="5"/>
        <v>569</v>
      </c>
    </row>
    <row r="145" spans="1:9" ht="14.25" customHeight="1" x14ac:dyDescent="0.25">
      <c r="A145" s="1" t="s">
        <v>55</v>
      </c>
      <c r="B145" s="1" t="s">
        <v>3</v>
      </c>
      <c r="C145" s="1">
        <v>152</v>
      </c>
      <c r="D145" s="1">
        <v>355</v>
      </c>
      <c r="E145" s="1">
        <v>270766</v>
      </c>
      <c r="F145" s="1">
        <v>9.48</v>
      </c>
      <c r="G145" s="1">
        <v>18001</v>
      </c>
      <c r="H145" s="4">
        <f t="shared" si="4"/>
        <v>5.5587999999999997</v>
      </c>
      <c r="I145">
        <f t="shared" si="5"/>
        <v>-203</v>
      </c>
    </row>
    <row r="146" spans="1:9" ht="14.25" customHeight="1" x14ac:dyDescent="0.25">
      <c r="A146" s="1" t="s">
        <v>29</v>
      </c>
      <c r="B146" s="1" t="s">
        <v>5</v>
      </c>
      <c r="C146" s="1">
        <v>1957</v>
      </c>
      <c r="D146" s="1">
        <v>234</v>
      </c>
      <c r="E146" s="1">
        <v>222126</v>
      </c>
      <c r="F146" s="1">
        <v>4.6100000000000003</v>
      </c>
      <c r="G146" s="1">
        <v>3314</v>
      </c>
      <c r="H146" s="4">
        <f t="shared" si="4"/>
        <v>5.7156000000000002</v>
      </c>
      <c r="I146">
        <f t="shared" si="5"/>
        <v>1723</v>
      </c>
    </row>
    <row r="147" spans="1:9" ht="14.25" customHeight="1" x14ac:dyDescent="0.25">
      <c r="A147" s="1" t="s">
        <v>29</v>
      </c>
      <c r="B147" s="1" t="s">
        <v>7</v>
      </c>
      <c r="C147" s="1">
        <v>1294</v>
      </c>
      <c r="D147" s="1">
        <v>382</v>
      </c>
      <c r="E147" s="1">
        <v>309914</v>
      </c>
      <c r="F147" s="1">
        <v>8.0299999999999994</v>
      </c>
      <c r="G147" s="1">
        <v>23489</v>
      </c>
      <c r="H147" s="4">
        <f t="shared" si="4"/>
        <v>5.6486000000000001</v>
      </c>
      <c r="I147">
        <f t="shared" si="5"/>
        <v>912</v>
      </c>
    </row>
    <row r="148" spans="1:9" ht="14.25" customHeight="1" x14ac:dyDescent="0.25">
      <c r="A148" s="1" t="s">
        <v>29</v>
      </c>
      <c r="B148" s="1" t="s">
        <v>1</v>
      </c>
      <c r="C148" s="1">
        <v>1587</v>
      </c>
      <c r="D148" s="1">
        <v>385</v>
      </c>
      <c r="E148" s="1">
        <v>126582</v>
      </c>
      <c r="F148" s="1">
        <v>6.99</v>
      </c>
      <c r="G148" s="1">
        <v>42832</v>
      </c>
      <c r="H148" s="4">
        <f t="shared" si="4"/>
        <v>5.6558000000000002</v>
      </c>
      <c r="I148">
        <f t="shared" si="5"/>
        <v>1202</v>
      </c>
    </row>
    <row r="149" spans="1:9" ht="14.25" customHeight="1" x14ac:dyDescent="0.25">
      <c r="A149" s="1" t="s">
        <v>29</v>
      </c>
      <c r="B149" s="1" t="s">
        <v>3</v>
      </c>
      <c r="C149" s="1">
        <v>1707</v>
      </c>
      <c r="D149" s="1">
        <v>263</v>
      </c>
      <c r="E149" s="1">
        <v>485280</v>
      </c>
      <c r="F149" s="1">
        <v>9.0299999999999994</v>
      </c>
      <c r="G149" s="1">
        <v>24494</v>
      </c>
      <c r="H149" s="4">
        <f t="shared" si="4"/>
        <v>5.5587999999999997</v>
      </c>
      <c r="I149">
        <f t="shared" si="5"/>
        <v>1444</v>
      </c>
    </row>
    <row r="150" spans="1:9" ht="14.25" customHeight="1" x14ac:dyDescent="0.25">
      <c r="A150" s="1" t="s">
        <v>16</v>
      </c>
      <c r="B150" s="1" t="s">
        <v>5</v>
      </c>
      <c r="C150" s="1">
        <v>1138</v>
      </c>
      <c r="D150" s="1">
        <v>173</v>
      </c>
      <c r="E150" s="1">
        <v>453243</v>
      </c>
      <c r="F150" s="1">
        <v>2.86</v>
      </c>
      <c r="G150" s="1">
        <v>44097</v>
      </c>
      <c r="H150" s="4">
        <f t="shared" si="4"/>
        <v>5.7156000000000002</v>
      </c>
      <c r="I150">
        <f t="shared" si="5"/>
        <v>965</v>
      </c>
    </row>
    <row r="151" spans="1:9" ht="14.25" customHeight="1" x14ac:dyDescent="0.25">
      <c r="A151" s="1" t="s">
        <v>16</v>
      </c>
      <c r="B151" s="1" t="s">
        <v>7</v>
      </c>
      <c r="C151" s="1">
        <v>1895</v>
      </c>
      <c r="D151" s="1">
        <v>305</v>
      </c>
      <c r="E151" s="1">
        <v>104967</v>
      </c>
      <c r="F151" s="1">
        <v>3.85</v>
      </c>
      <c r="G151" s="1">
        <v>31853</v>
      </c>
      <c r="H151" s="4">
        <f t="shared" si="4"/>
        <v>5.6486000000000001</v>
      </c>
      <c r="I151">
        <f t="shared" si="5"/>
        <v>1590</v>
      </c>
    </row>
    <row r="152" spans="1:9" ht="14.25" customHeight="1" x14ac:dyDescent="0.25">
      <c r="A152" s="1" t="s">
        <v>16</v>
      </c>
      <c r="B152" s="1" t="s">
        <v>1</v>
      </c>
      <c r="C152" s="1">
        <v>362</v>
      </c>
      <c r="D152" s="1">
        <v>399</v>
      </c>
      <c r="E152" s="1">
        <v>145608</v>
      </c>
      <c r="F152" s="1">
        <v>7.3</v>
      </c>
      <c r="G152" s="1">
        <v>37636</v>
      </c>
      <c r="H152" s="4">
        <f t="shared" si="4"/>
        <v>5.6558000000000002</v>
      </c>
      <c r="I152">
        <f t="shared" si="5"/>
        <v>-37</v>
      </c>
    </row>
    <row r="153" spans="1:9" ht="14.25" customHeight="1" x14ac:dyDescent="0.25">
      <c r="A153" s="1" t="s">
        <v>16</v>
      </c>
      <c r="B153" s="1" t="s">
        <v>3</v>
      </c>
      <c r="C153" s="1">
        <v>1662</v>
      </c>
      <c r="D153" s="1">
        <v>487</v>
      </c>
      <c r="E153" s="1">
        <v>105980</v>
      </c>
      <c r="F153" s="1">
        <v>9.08</v>
      </c>
      <c r="G153" s="1">
        <v>22996</v>
      </c>
      <c r="H153" s="4">
        <f t="shared" si="4"/>
        <v>5.5587999999999997</v>
      </c>
      <c r="I153">
        <f t="shared" si="5"/>
        <v>1175</v>
      </c>
    </row>
    <row r="154" spans="1:9" ht="14.25" customHeight="1" x14ac:dyDescent="0.25">
      <c r="A154" s="1" t="s">
        <v>18</v>
      </c>
      <c r="B154" s="1" t="s">
        <v>5</v>
      </c>
      <c r="C154" s="1">
        <v>1440</v>
      </c>
      <c r="D154" s="1">
        <v>65</v>
      </c>
      <c r="E154" s="1">
        <v>126524</v>
      </c>
      <c r="F154" s="1">
        <v>4.34</v>
      </c>
      <c r="G154" s="1">
        <v>49772</v>
      </c>
      <c r="H154" s="4">
        <f t="shared" si="4"/>
        <v>5.7156000000000002</v>
      </c>
      <c r="I154">
        <f t="shared" si="5"/>
        <v>1375</v>
      </c>
    </row>
    <row r="155" spans="1:9" ht="14.25" customHeight="1" x14ac:dyDescent="0.25">
      <c r="A155" s="1" t="s">
        <v>18</v>
      </c>
      <c r="B155" s="1" t="s">
        <v>7</v>
      </c>
      <c r="C155" s="1">
        <v>1884</v>
      </c>
      <c r="D155" s="1">
        <v>177</v>
      </c>
      <c r="E155" s="1">
        <v>230448</v>
      </c>
      <c r="F155" s="1">
        <v>7.8</v>
      </c>
      <c r="G155" s="1">
        <v>22713</v>
      </c>
      <c r="H155" s="4">
        <f t="shared" si="4"/>
        <v>5.6486000000000001</v>
      </c>
      <c r="I155">
        <f t="shared" si="5"/>
        <v>1707</v>
      </c>
    </row>
    <row r="156" spans="1:9" ht="14.25" customHeight="1" x14ac:dyDescent="0.25">
      <c r="A156" s="1" t="s">
        <v>18</v>
      </c>
      <c r="B156" s="1" t="s">
        <v>1</v>
      </c>
      <c r="C156" s="1">
        <v>861</v>
      </c>
      <c r="D156" s="1">
        <v>153</v>
      </c>
      <c r="E156" s="1">
        <v>317007</v>
      </c>
      <c r="F156" s="1">
        <v>3.85</v>
      </c>
      <c r="G156" s="1">
        <v>8718</v>
      </c>
      <c r="H156" s="4">
        <f t="shared" si="4"/>
        <v>5.6558000000000002</v>
      </c>
      <c r="I156">
        <f t="shared" si="5"/>
        <v>708</v>
      </c>
    </row>
    <row r="157" spans="1:9" ht="14.25" customHeight="1" x14ac:dyDescent="0.25">
      <c r="A157" s="1" t="s">
        <v>18</v>
      </c>
      <c r="B157" s="1" t="s">
        <v>3</v>
      </c>
      <c r="C157" s="1">
        <v>1063</v>
      </c>
      <c r="D157" s="1">
        <v>47</v>
      </c>
      <c r="E157" s="1">
        <v>464239</v>
      </c>
      <c r="F157" s="1">
        <v>6.58</v>
      </c>
      <c r="G157" s="1">
        <v>39031</v>
      </c>
      <c r="H157" s="4">
        <f t="shared" si="4"/>
        <v>5.5587999999999997</v>
      </c>
      <c r="I157">
        <f t="shared" si="5"/>
        <v>1016</v>
      </c>
    </row>
    <row r="158" spans="1:9" ht="14.25" customHeight="1" x14ac:dyDescent="0.25">
      <c r="A158" s="1" t="s">
        <v>23</v>
      </c>
      <c r="B158" s="1" t="s">
        <v>5</v>
      </c>
      <c r="C158" s="1">
        <v>1371</v>
      </c>
      <c r="D158" s="1">
        <v>56</v>
      </c>
      <c r="E158" s="1">
        <v>257579</v>
      </c>
      <c r="F158" s="1">
        <v>8.6199999999999992</v>
      </c>
      <c r="G158" s="1">
        <v>33799</v>
      </c>
      <c r="H158" s="4">
        <f t="shared" si="4"/>
        <v>5.7156000000000002</v>
      </c>
      <c r="I158">
        <f t="shared" si="5"/>
        <v>1315</v>
      </c>
    </row>
    <row r="159" spans="1:9" ht="14.25" customHeight="1" x14ac:dyDescent="0.25">
      <c r="A159" s="1" t="s">
        <v>23</v>
      </c>
      <c r="B159" s="1" t="s">
        <v>7</v>
      </c>
      <c r="C159" s="1">
        <v>345</v>
      </c>
      <c r="D159" s="1">
        <v>464</v>
      </c>
      <c r="E159" s="1">
        <v>366881</v>
      </c>
      <c r="F159" s="1">
        <v>4.55</v>
      </c>
      <c r="G159" s="1">
        <v>20553</v>
      </c>
      <c r="H159" s="4">
        <f t="shared" si="4"/>
        <v>5.6486000000000001</v>
      </c>
      <c r="I159">
        <f t="shared" si="5"/>
        <v>-119</v>
      </c>
    </row>
    <row r="160" spans="1:9" ht="14.25" customHeight="1" x14ac:dyDescent="0.25">
      <c r="A160" s="1" t="s">
        <v>23</v>
      </c>
      <c r="B160" s="1" t="s">
        <v>1</v>
      </c>
      <c r="C160" s="1">
        <v>946</v>
      </c>
      <c r="D160" s="1">
        <v>47</v>
      </c>
      <c r="E160" s="1">
        <v>466575</v>
      </c>
      <c r="F160" s="1">
        <v>8.33</v>
      </c>
      <c r="G160" s="1">
        <v>10002</v>
      </c>
      <c r="H160" s="4">
        <f t="shared" si="4"/>
        <v>5.6558000000000002</v>
      </c>
      <c r="I160">
        <f t="shared" si="5"/>
        <v>899</v>
      </c>
    </row>
    <row r="161" spans="1:9" ht="14.25" customHeight="1" x14ac:dyDescent="0.25">
      <c r="A161" s="1" t="s">
        <v>23</v>
      </c>
      <c r="B161" s="1" t="s">
        <v>3</v>
      </c>
      <c r="C161" s="1">
        <v>510</v>
      </c>
      <c r="D161" s="1">
        <v>195</v>
      </c>
      <c r="E161" s="1">
        <v>224534</v>
      </c>
      <c r="F161" s="1">
        <v>9.4</v>
      </c>
      <c r="G161" s="1">
        <v>30987</v>
      </c>
      <c r="H161" s="4">
        <f t="shared" si="4"/>
        <v>5.5587999999999997</v>
      </c>
      <c r="I161">
        <f t="shared" si="5"/>
        <v>315</v>
      </c>
    </row>
    <row r="162" spans="1:9" ht="14.25" customHeight="1" x14ac:dyDescent="0.25">
      <c r="A162" s="1" t="s">
        <v>56</v>
      </c>
      <c r="B162" s="1" t="s">
        <v>5</v>
      </c>
      <c r="C162" s="1">
        <v>393</v>
      </c>
      <c r="D162" s="1">
        <v>181</v>
      </c>
      <c r="E162" s="1">
        <v>462142</v>
      </c>
      <c r="F162" s="1">
        <v>7.23</v>
      </c>
      <c r="G162" s="1">
        <v>6296</v>
      </c>
      <c r="H162" s="4">
        <f t="shared" si="4"/>
        <v>5.7156000000000002</v>
      </c>
      <c r="I162">
        <f t="shared" si="5"/>
        <v>212</v>
      </c>
    </row>
    <row r="163" spans="1:9" ht="14.25" customHeight="1" x14ac:dyDescent="0.25">
      <c r="A163" s="1" t="s">
        <v>56</v>
      </c>
      <c r="B163" s="1" t="s">
        <v>7</v>
      </c>
      <c r="C163" s="1">
        <v>1098</v>
      </c>
      <c r="D163" s="1">
        <v>190</v>
      </c>
      <c r="E163" s="1">
        <v>340842</v>
      </c>
      <c r="F163" s="1">
        <v>9.39</v>
      </c>
      <c r="G163" s="1">
        <v>21539</v>
      </c>
      <c r="H163" s="4">
        <f t="shared" si="4"/>
        <v>5.6486000000000001</v>
      </c>
      <c r="I163">
        <f t="shared" si="5"/>
        <v>908</v>
      </c>
    </row>
    <row r="164" spans="1:9" ht="14.25" customHeight="1" x14ac:dyDescent="0.25">
      <c r="A164" s="1" t="s">
        <v>56</v>
      </c>
      <c r="B164" s="1" t="s">
        <v>1</v>
      </c>
      <c r="C164" s="1">
        <v>1399</v>
      </c>
      <c r="D164" s="1">
        <v>49</v>
      </c>
      <c r="E164" s="1">
        <v>12471</v>
      </c>
      <c r="F164" s="1">
        <v>5.12</v>
      </c>
      <c r="G164" s="1">
        <v>14722</v>
      </c>
      <c r="H164" s="4">
        <f t="shared" si="4"/>
        <v>5.6558000000000002</v>
      </c>
      <c r="I164">
        <f t="shared" si="5"/>
        <v>1350</v>
      </c>
    </row>
    <row r="165" spans="1:9" ht="14.25" customHeight="1" x14ac:dyDescent="0.25">
      <c r="A165" s="1" t="s">
        <v>56</v>
      </c>
      <c r="B165" s="1" t="s">
        <v>3</v>
      </c>
      <c r="C165" s="1">
        <v>1658</v>
      </c>
      <c r="D165" s="1">
        <v>416</v>
      </c>
      <c r="E165" s="1">
        <v>98397</v>
      </c>
      <c r="F165" s="1">
        <v>6.11</v>
      </c>
      <c r="G165" s="1">
        <v>11383</v>
      </c>
      <c r="H165" s="4">
        <f t="shared" si="4"/>
        <v>5.5587999999999997</v>
      </c>
      <c r="I165">
        <f t="shared" si="5"/>
        <v>1242</v>
      </c>
    </row>
    <row r="166" spans="1:9" ht="14.25" customHeight="1" x14ac:dyDescent="0.25">
      <c r="A166" s="1" t="s">
        <v>57</v>
      </c>
      <c r="B166" s="1" t="s">
        <v>5</v>
      </c>
      <c r="C166" s="1">
        <v>1102</v>
      </c>
      <c r="D166" s="1">
        <v>422</v>
      </c>
      <c r="E166" s="1">
        <v>410330</v>
      </c>
      <c r="F166" s="1">
        <v>7.74</v>
      </c>
      <c r="G166" s="1">
        <v>9480</v>
      </c>
      <c r="H166" s="4">
        <f t="shared" si="4"/>
        <v>5.7156000000000002</v>
      </c>
      <c r="I166">
        <f t="shared" si="5"/>
        <v>680</v>
      </c>
    </row>
    <row r="167" spans="1:9" ht="14.25" customHeight="1" x14ac:dyDescent="0.25">
      <c r="A167" s="1" t="s">
        <v>57</v>
      </c>
      <c r="B167" s="1" t="s">
        <v>7</v>
      </c>
      <c r="C167" s="1">
        <v>1358</v>
      </c>
      <c r="D167" s="1">
        <v>242</v>
      </c>
      <c r="E167" s="1">
        <v>342129</v>
      </c>
      <c r="F167" s="1">
        <v>4.9400000000000004</v>
      </c>
      <c r="G167" s="1">
        <v>29116</v>
      </c>
      <c r="H167" s="4">
        <f t="shared" si="4"/>
        <v>5.6486000000000001</v>
      </c>
      <c r="I167">
        <f t="shared" si="5"/>
        <v>1116</v>
      </c>
    </row>
    <row r="168" spans="1:9" ht="14.25" customHeight="1" x14ac:dyDescent="0.25">
      <c r="A168" s="1" t="s">
        <v>57</v>
      </c>
      <c r="B168" s="1" t="s">
        <v>1</v>
      </c>
      <c r="C168" s="1">
        <v>1077</v>
      </c>
      <c r="D168" s="1">
        <v>216</v>
      </c>
      <c r="E168" s="1">
        <v>12447</v>
      </c>
      <c r="F168" s="1">
        <v>1.8</v>
      </c>
      <c r="G168" s="1">
        <v>14068</v>
      </c>
      <c r="H168" s="4">
        <f t="shared" si="4"/>
        <v>5.6558000000000002</v>
      </c>
      <c r="I168">
        <f t="shared" si="5"/>
        <v>861</v>
      </c>
    </row>
    <row r="169" spans="1:9" ht="14.25" customHeight="1" x14ac:dyDescent="0.25">
      <c r="A169" s="1" t="s">
        <v>57</v>
      </c>
      <c r="B169" s="1" t="s">
        <v>3</v>
      </c>
      <c r="C169" s="1">
        <v>1596</v>
      </c>
      <c r="D169" s="1">
        <v>211</v>
      </c>
      <c r="E169" s="1">
        <v>17380</v>
      </c>
      <c r="F169" s="1">
        <v>8.64</v>
      </c>
      <c r="G169" s="1">
        <v>35801</v>
      </c>
      <c r="H169" s="4">
        <f t="shared" si="4"/>
        <v>5.5587999999999997</v>
      </c>
      <c r="I169">
        <f t="shared" si="5"/>
        <v>1385</v>
      </c>
    </row>
    <row r="170" spans="1:9" ht="14.25" customHeight="1" x14ac:dyDescent="0.25">
      <c r="A170" s="1" t="s">
        <v>28</v>
      </c>
      <c r="B170" s="1" t="s">
        <v>5</v>
      </c>
      <c r="C170" s="1">
        <v>490</v>
      </c>
      <c r="D170" s="1">
        <v>29</v>
      </c>
      <c r="E170" s="1">
        <v>364810</v>
      </c>
      <c r="F170" s="1">
        <v>1.53</v>
      </c>
      <c r="G170" s="1">
        <v>49077</v>
      </c>
      <c r="H170" s="4">
        <f t="shared" si="4"/>
        <v>5.7156000000000002</v>
      </c>
      <c r="I170">
        <f t="shared" si="5"/>
        <v>461</v>
      </c>
    </row>
    <row r="171" spans="1:9" ht="14.25" customHeight="1" x14ac:dyDescent="0.25">
      <c r="A171" s="1" t="s">
        <v>28</v>
      </c>
      <c r="B171" s="1" t="s">
        <v>7</v>
      </c>
      <c r="C171" s="1">
        <v>609</v>
      </c>
      <c r="D171" s="1">
        <v>135</v>
      </c>
      <c r="E171" s="1">
        <v>373606</v>
      </c>
      <c r="F171" s="1">
        <v>8.52</v>
      </c>
      <c r="G171" s="1">
        <v>21453</v>
      </c>
      <c r="H171" s="4">
        <f t="shared" si="4"/>
        <v>5.6486000000000001</v>
      </c>
      <c r="I171">
        <f t="shared" si="5"/>
        <v>474</v>
      </c>
    </row>
    <row r="172" spans="1:9" ht="14.25" customHeight="1" x14ac:dyDescent="0.25">
      <c r="A172" s="1" t="s">
        <v>28</v>
      </c>
      <c r="B172" s="1" t="s">
        <v>1</v>
      </c>
      <c r="C172" s="1">
        <v>364</v>
      </c>
      <c r="D172" s="1">
        <v>72</v>
      </c>
      <c r="E172" s="1">
        <v>211090</v>
      </c>
      <c r="F172" s="1">
        <v>5.53</v>
      </c>
      <c r="G172" s="1">
        <v>21061</v>
      </c>
      <c r="H172" s="4">
        <f t="shared" si="4"/>
        <v>5.6558000000000002</v>
      </c>
      <c r="I172">
        <f t="shared" si="5"/>
        <v>292</v>
      </c>
    </row>
    <row r="173" spans="1:9" ht="14.25" customHeight="1" x14ac:dyDescent="0.25">
      <c r="A173" s="1" t="s">
        <v>28</v>
      </c>
      <c r="B173" s="1" t="s">
        <v>3</v>
      </c>
      <c r="C173" s="1">
        <v>442</v>
      </c>
      <c r="D173" s="1">
        <v>53</v>
      </c>
      <c r="E173" s="1">
        <v>441931</v>
      </c>
      <c r="F173" s="1">
        <v>1.87</v>
      </c>
      <c r="G173" s="1">
        <v>20059</v>
      </c>
      <c r="H173" s="4">
        <f t="shared" si="4"/>
        <v>5.5587999999999997</v>
      </c>
      <c r="I173">
        <f t="shared" si="5"/>
        <v>389</v>
      </c>
    </row>
    <row r="174" spans="1:9" ht="14.25" customHeight="1" x14ac:dyDescent="0.25">
      <c r="A174" s="1" t="s">
        <v>58</v>
      </c>
      <c r="B174" s="1" t="s">
        <v>5</v>
      </c>
      <c r="C174" s="1">
        <v>1033</v>
      </c>
      <c r="D174" s="1">
        <v>392</v>
      </c>
      <c r="E174" s="1">
        <v>282780</v>
      </c>
      <c r="F174" s="1">
        <v>6.27</v>
      </c>
      <c r="G174" s="1">
        <v>23140</v>
      </c>
      <c r="H174" s="4">
        <f t="shared" si="4"/>
        <v>5.7156000000000002</v>
      </c>
      <c r="I174">
        <f t="shared" si="5"/>
        <v>641</v>
      </c>
    </row>
    <row r="175" spans="1:9" ht="14.25" customHeight="1" x14ac:dyDescent="0.25">
      <c r="A175" s="1" t="s">
        <v>58</v>
      </c>
      <c r="B175" s="1" t="s">
        <v>7</v>
      </c>
      <c r="C175" s="1">
        <v>988</v>
      </c>
      <c r="D175" s="1">
        <v>474</v>
      </c>
      <c r="E175" s="1">
        <v>370070</v>
      </c>
      <c r="F175" s="1">
        <v>9.4600000000000009</v>
      </c>
      <c r="G175" s="1">
        <v>23461</v>
      </c>
      <c r="H175" s="4">
        <f t="shared" si="4"/>
        <v>5.6486000000000001</v>
      </c>
      <c r="I175">
        <f t="shared" si="5"/>
        <v>514</v>
      </c>
    </row>
    <row r="176" spans="1:9" ht="14.25" customHeight="1" x14ac:dyDescent="0.25">
      <c r="A176" s="1" t="s">
        <v>58</v>
      </c>
      <c r="B176" s="1" t="s">
        <v>1</v>
      </c>
      <c r="C176" s="1">
        <v>1946</v>
      </c>
      <c r="D176" s="1">
        <v>270</v>
      </c>
      <c r="E176" s="1">
        <v>198350</v>
      </c>
      <c r="F176" s="1">
        <v>7.5</v>
      </c>
      <c r="G176" s="1">
        <v>11805</v>
      </c>
      <c r="H176" s="4">
        <f t="shared" si="4"/>
        <v>5.6558000000000002</v>
      </c>
      <c r="I176">
        <f t="shared" si="5"/>
        <v>1676</v>
      </c>
    </row>
    <row r="177" spans="1:9" ht="14.25" customHeight="1" x14ac:dyDescent="0.25">
      <c r="A177" s="1" t="s">
        <v>58</v>
      </c>
      <c r="B177" s="1" t="s">
        <v>3</v>
      </c>
      <c r="C177" s="1">
        <v>1957</v>
      </c>
      <c r="D177" s="1">
        <v>490</v>
      </c>
      <c r="E177" s="1">
        <v>435726</v>
      </c>
      <c r="F177" s="1">
        <v>4.7300000000000004</v>
      </c>
      <c r="G177" s="1">
        <v>15969</v>
      </c>
      <c r="H177" s="4">
        <f t="shared" si="4"/>
        <v>5.5587999999999997</v>
      </c>
      <c r="I177">
        <f t="shared" si="5"/>
        <v>1467</v>
      </c>
    </row>
    <row r="178" spans="1:9" ht="14.25" customHeight="1" x14ac:dyDescent="0.25">
      <c r="A178" s="1" t="s">
        <v>34</v>
      </c>
      <c r="B178" s="1" t="s">
        <v>5</v>
      </c>
      <c r="C178" s="1">
        <v>559</v>
      </c>
      <c r="D178" s="1">
        <v>392</v>
      </c>
      <c r="E178" s="1">
        <v>78789</v>
      </c>
      <c r="F178" s="1">
        <v>3.19</v>
      </c>
      <c r="G178" s="1">
        <v>2436</v>
      </c>
      <c r="H178" s="4">
        <f t="shared" si="4"/>
        <v>5.7156000000000002</v>
      </c>
      <c r="I178">
        <f t="shared" si="5"/>
        <v>167</v>
      </c>
    </row>
    <row r="179" spans="1:9" ht="14.25" customHeight="1" x14ac:dyDescent="0.25">
      <c r="A179" s="1" t="s">
        <v>34</v>
      </c>
      <c r="B179" s="1" t="s">
        <v>7</v>
      </c>
      <c r="C179" s="1">
        <v>1307</v>
      </c>
      <c r="D179" s="1">
        <v>278</v>
      </c>
      <c r="E179" s="1">
        <v>98596</v>
      </c>
      <c r="F179" s="1">
        <v>2.4900000000000002</v>
      </c>
      <c r="G179" s="1">
        <v>47603</v>
      </c>
      <c r="H179" s="4">
        <f t="shared" si="4"/>
        <v>5.6486000000000001</v>
      </c>
      <c r="I179">
        <f t="shared" si="5"/>
        <v>1029</v>
      </c>
    </row>
    <row r="180" spans="1:9" ht="14.25" customHeight="1" x14ac:dyDescent="0.25">
      <c r="A180" s="1" t="s">
        <v>34</v>
      </c>
      <c r="B180" s="1" t="s">
        <v>1</v>
      </c>
      <c r="C180" s="1">
        <v>1432</v>
      </c>
      <c r="D180" s="1">
        <v>425</v>
      </c>
      <c r="E180" s="1">
        <v>29589</v>
      </c>
      <c r="F180" s="1">
        <v>4.5</v>
      </c>
      <c r="G180" s="1">
        <v>42964</v>
      </c>
      <c r="H180" s="4">
        <f t="shared" si="4"/>
        <v>5.6558000000000002</v>
      </c>
      <c r="I180">
        <f t="shared" si="5"/>
        <v>1007</v>
      </c>
    </row>
    <row r="181" spans="1:9" ht="14.25" customHeight="1" x14ac:dyDescent="0.25">
      <c r="A181" s="1" t="s">
        <v>34</v>
      </c>
      <c r="B181" s="1" t="s">
        <v>3</v>
      </c>
      <c r="C181" s="1">
        <v>623</v>
      </c>
      <c r="D181" s="1">
        <v>414</v>
      </c>
      <c r="E181" s="1">
        <v>290354</v>
      </c>
      <c r="F181" s="1">
        <v>6.49</v>
      </c>
      <c r="G181" s="1">
        <v>39923</v>
      </c>
      <c r="H181" s="4">
        <f t="shared" si="4"/>
        <v>5.5587999999999997</v>
      </c>
      <c r="I181">
        <f t="shared" si="5"/>
        <v>209</v>
      </c>
    </row>
    <row r="182" spans="1:9" ht="14.25" customHeight="1" x14ac:dyDescent="0.25">
      <c r="A182" s="1" t="s">
        <v>59</v>
      </c>
      <c r="B182" s="1" t="s">
        <v>5</v>
      </c>
      <c r="C182" s="1">
        <v>198</v>
      </c>
      <c r="D182" s="1">
        <v>358</v>
      </c>
      <c r="E182" s="1">
        <v>66682</v>
      </c>
      <c r="F182" s="1">
        <v>6.73</v>
      </c>
      <c r="G182" s="1">
        <v>2293</v>
      </c>
      <c r="H182" s="4">
        <f t="shared" si="4"/>
        <v>5.7156000000000002</v>
      </c>
      <c r="I182">
        <f t="shared" si="5"/>
        <v>-160</v>
      </c>
    </row>
    <row r="183" spans="1:9" ht="14.25" customHeight="1" x14ac:dyDescent="0.25">
      <c r="A183" s="1" t="s">
        <v>59</v>
      </c>
      <c r="B183" s="1" t="s">
        <v>7</v>
      </c>
      <c r="C183" s="1">
        <v>198</v>
      </c>
      <c r="D183" s="1">
        <v>373</v>
      </c>
      <c r="E183" s="1">
        <v>70707</v>
      </c>
      <c r="F183" s="1">
        <v>4.83</v>
      </c>
      <c r="G183" s="1">
        <v>25920</v>
      </c>
      <c r="H183" s="4">
        <f t="shared" si="4"/>
        <v>5.6486000000000001</v>
      </c>
      <c r="I183">
        <f t="shared" si="5"/>
        <v>-175</v>
      </c>
    </row>
    <row r="184" spans="1:9" ht="14.25" customHeight="1" x14ac:dyDescent="0.25">
      <c r="A184" s="1" t="s">
        <v>59</v>
      </c>
      <c r="B184" s="1" t="s">
        <v>1</v>
      </c>
      <c r="C184" s="1">
        <v>353</v>
      </c>
      <c r="D184" s="1">
        <v>300</v>
      </c>
      <c r="E184" s="1">
        <v>142507</v>
      </c>
      <c r="F184" s="1">
        <v>5.3</v>
      </c>
      <c r="G184" s="1">
        <v>11035</v>
      </c>
      <c r="H184" s="4">
        <f t="shared" si="4"/>
        <v>5.6558000000000002</v>
      </c>
      <c r="I184">
        <f t="shared" si="5"/>
        <v>53</v>
      </c>
    </row>
    <row r="185" spans="1:9" ht="14.25" customHeight="1" x14ac:dyDescent="0.25">
      <c r="A185" s="1" t="s">
        <v>59</v>
      </c>
      <c r="B185" s="1" t="s">
        <v>3</v>
      </c>
      <c r="C185" s="1">
        <v>520</v>
      </c>
      <c r="D185" s="1">
        <v>375</v>
      </c>
      <c r="E185" s="1">
        <v>369525</v>
      </c>
      <c r="F185" s="1">
        <v>6.54</v>
      </c>
      <c r="G185" s="1">
        <v>20733</v>
      </c>
      <c r="H185" s="4">
        <f t="shared" si="4"/>
        <v>5.5587999999999997</v>
      </c>
      <c r="I185">
        <f t="shared" si="5"/>
        <v>145</v>
      </c>
    </row>
    <row r="186" spans="1:9" ht="14.25" customHeight="1" x14ac:dyDescent="0.25">
      <c r="A186" s="1" t="s">
        <v>60</v>
      </c>
      <c r="B186" s="1" t="s">
        <v>5</v>
      </c>
      <c r="C186" s="1">
        <v>961</v>
      </c>
      <c r="D186" s="1">
        <v>358</v>
      </c>
      <c r="E186" s="1">
        <v>62942</v>
      </c>
      <c r="F186" s="1">
        <v>6.8</v>
      </c>
      <c r="G186" s="1">
        <v>18693</v>
      </c>
      <c r="H186" s="4">
        <f t="shared" si="4"/>
        <v>5.7156000000000002</v>
      </c>
      <c r="I186">
        <f t="shared" si="5"/>
        <v>603</v>
      </c>
    </row>
    <row r="187" spans="1:9" ht="14.25" customHeight="1" x14ac:dyDescent="0.25">
      <c r="A187" s="1" t="s">
        <v>60</v>
      </c>
      <c r="B187" s="1" t="s">
        <v>7</v>
      </c>
      <c r="C187" s="1">
        <v>1375</v>
      </c>
      <c r="D187" s="1">
        <v>330</v>
      </c>
      <c r="E187" s="1">
        <v>377382</v>
      </c>
      <c r="F187" s="1">
        <v>2.6</v>
      </c>
      <c r="G187" s="1">
        <v>7875</v>
      </c>
      <c r="H187" s="4">
        <f t="shared" si="4"/>
        <v>5.6486000000000001</v>
      </c>
      <c r="I187">
        <f t="shared" si="5"/>
        <v>1045</v>
      </c>
    </row>
    <row r="188" spans="1:9" ht="14.25" customHeight="1" x14ac:dyDescent="0.25">
      <c r="A188" s="1" t="s">
        <v>60</v>
      </c>
      <c r="B188" s="1" t="s">
        <v>1</v>
      </c>
      <c r="C188" s="1">
        <v>1147</v>
      </c>
      <c r="D188" s="1">
        <v>388</v>
      </c>
      <c r="E188" s="1">
        <v>333851</v>
      </c>
      <c r="F188" s="1">
        <v>2.44</v>
      </c>
      <c r="G188" s="1">
        <v>8471</v>
      </c>
      <c r="H188" s="4">
        <f t="shared" si="4"/>
        <v>5.6558000000000002</v>
      </c>
      <c r="I188">
        <f t="shared" si="5"/>
        <v>759</v>
      </c>
    </row>
    <row r="189" spans="1:9" ht="14.25" customHeight="1" x14ac:dyDescent="0.25">
      <c r="A189" s="1" t="s">
        <v>60</v>
      </c>
      <c r="B189" s="1" t="s">
        <v>3</v>
      </c>
      <c r="C189" s="1">
        <v>1707</v>
      </c>
      <c r="D189" s="1">
        <v>74</v>
      </c>
      <c r="E189" s="1">
        <v>270958</v>
      </c>
      <c r="F189" s="1">
        <v>3.09</v>
      </c>
      <c r="G189" s="1">
        <v>14090</v>
      </c>
      <c r="H189" s="4">
        <f t="shared" si="4"/>
        <v>5.5587999999999997</v>
      </c>
      <c r="I189">
        <f t="shared" si="5"/>
        <v>1633</v>
      </c>
    </row>
    <row r="190" spans="1:9" ht="14.25" customHeight="1" x14ac:dyDescent="0.25">
      <c r="A190" s="1" t="s">
        <v>33</v>
      </c>
      <c r="B190" s="1" t="s">
        <v>5</v>
      </c>
      <c r="C190" s="1">
        <v>1693</v>
      </c>
      <c r="D190" s="1">
        <v>154</v>
      </c>
      <c r="E190" s="1">
        <v>445944</v>
      </c>
      <c r="F190" s="1">
        <v>5.69</v>
      </c>
      <c r="G190" s="1">
        <v>14216</v>
      </c>
      <c r="H190" s="4">
        <f t="shared" si="4"/>
        <v>5.7156000000000002</v>
      </c>
      <c r="I190">
        <f t="shared" si="5"/>
        <v>1539</v>
      </c>
    </row>
    <row r="191" spans="1:9" ht="14.25" customHeight="1" x14ac:dyDescent="0.25">
      <c r="A191" s="1" t="s">
        <v>33</v>
      </c>
      <c r="B191" s="1" t="s">
        <v>7</v>
      </c>
      <c r="C191" s="1">
        <v>833</v>
      </c>
      <c r="D191" s="1">
        <v>380</v>
      </c>
      <c r="E191" s="1">
        <v>224830</v>
      </c>
      <c r="F191" s="1">
        <v>3.86</v>
      </c>
      <c r="G191" s="1">
        <v>3582</v>
      </c>
      <c r="H191" s="4">
        <f t="shared" si="4"/>
        <v>5.6486000000000001</v>
      </c>
      <c r="I191">
        <f t="shared" si="5"/>
        <v>453</v>
      </c>
    </row>
    <row r="192" spans="1:9" ht="14.25" customHeight="1" x14ac:dyDescent="0.25">
      <c r="A192" s="1" t="s">
        <v>33</v>
      </c>
      <c r="B192" s="1" t="s">
        <v>1</v>
      </c>
      <c r="C192" s="1">
        <v>1222</v>
      </c>
      <c r="D192" s="1">
        <v>274</v>
      </c>
      <c r="E192" s="1">
        <v>487289</v>
      </c>
      <c r="F192" s="1">
        <v>3.16</v>
      </c>
      <c r="G192" s="1">
        <v>32500</v>
      </c>
      <c r="H192" s="4">
        <f t="shared" si="4"/>
        <v>5.6558000000000002</v>
      </c>
      <c r="I192">
        <f t="shared" si="5"/>
        <v>948</v>
      </c>
    </row>
    <row r="193" spans="1:9" ht="14.25" customHeight="1" x14ac:dyDescent="0.25">
      <c r="A193" s="1" t="s">
        <v>33</v>
      </c>
      <c r="B193" s="1" t="s">
        <v>3</v>
      </c>
      <c r="C193" s="1">
        <v>777</v>
      </c>
      <c r="D193" s="1">
        <v>140</v>
      </c>
      <c r="E193" s="1">
        <v>11435</v>
      </c>
      <c r="F193" s="1">
        <v>1.6</v>
      </c>
      <c r="G193" s="1">
        <v>6832</v>
      </c>
      <c r="H193" s="4">
        <f t="shared" si="4"/>
        <v>5.5587999999999997</v>
      </c>
      <c r="I193">
        <f t="shared" si="5"/>
        <v>637</v>
      </c>
    </row>
    <row r="194" spans="1:9" ht="14.25" customHeight="1" x14ac:dyDescent="0.25">
      <c r="A194" s="1" t="s">
        <v>11</v>
      </c>
      <c r="B194" s="1" t="s">
        <v>5</v>
      </c>
      <c r="C194" s="1">
        <v>1957</v>
      </c>
      <c r="D194" s="1">
        <v>76</v>
      </c>
      <c r="E194" s="1">
        <v>447902</v>
      </c>
      <c r="F194" s="1">
        <v>6.09</v>
      </c>
      <c r="G194" s="1">
        <v>33381</v>
      </c>
      <c r="H194" s="4">
        <f t="shared" si="4"/>
        <v>5.7156000000000002</v>
      </c>
      <c r="I194">
        <f t="shared" si="5"/>
        <v>1881</v>
      </c>
    </row>
    <row r="195" spans="1:9" ht="14.25" customHeight="1" x14ac:dyDescent="0.25">
      <c r="A195" s="1" t="s">
        <v>11</v>
      </c>
      <c r="B195" s="1" t="s">
        <v>7</v>
      </c>
      <c r="C195" s="1">
        <v>405</v>
      </c>
      <c r="D195" s="1">
        <v>66</v>
      </c>
      <c r="E195" s="1">
        <v>418696</v>
      </c>
      <c r="F195" s="1">
        <v>5.59</v>
      </c>
      <c r="G195" s="1">
        <v>48419</v>
      </c>
      <c r="H195" s="4">
        <f t="shared" ref="H195:H201" si="6">AVERAGEIF(B:B,B195,F:F)</f>
        <v>5.6486000000000001</v>
      </c>
      <c r="I195">
        <f t="shared" ref="I195:I201" si="7">C195-D195</f>
        <v>339</v>
      </c>
    </row>
    <row r="196" spans="1:9" ht="14.25" customHeight="1" x14ac:dyDescent="0.25">
      <c r="A196" s="1" t="s">
        <v>11</v>
      </c>
      <c r="B196" s="1" t="s">
        <v>1</v>
      </c>
      <c r="C196" s="1">
        <v>1581</v>
      </c>
      <c r="D196" s="1">
        <v>71</v>
      </c>
      <c r="E196" s="1">
        <v>484364</v>
      </c>
      <c r="F196" s="1">
        <v>3.55</v>
      </c>
      <c r="G196" s="1">
        <v>16149</v>
      </c>
      <c r="H196" s="4">
        <f t="shared" si="6"/>
        <v>5.6558000000000002</v>
      </c>
      <c r="I196">
        <f t="shared" si="7"/>
        <v>1510</v>
      </c>
    </row>
    <row r="197" spans="1:9" ht="14.25" customHeight="1" x14ac:dyDescent="0.25">
      <c r="A197" s="1" t="s">
        <v>11</v>
      </c>
      <c r="B197" s="1" t="s">
        <v>3</v>
      </c>
      <c r="C197" s="1">
        <v>1035</v>
      </c>
      <c r="D197" s="1">
        <v>171</v>
      </c>
      <c r="E197" s="1">
        <v>148477</v>
      </c>
      <c r="F197" s="1">
        <v>5.21</v>
      </c>
      <c r="G197" s="1">
        <v>7541</v>
      </c>
      <c r="H197" s="4">
        <f t="shared" si="6"/>
        <v>5.5587999999999997</v>
      </c>
      <c r="I197">
        <f t="shared" si="7"/>
        <v>864</v>
      </c>
    </row>
    <row r="198" spans="1:9" ht="14.25" customHeight="1" x14ac:dyDescent="0.25">
      <c r="A198" s="1" t="s">
        <v>4</v>
      </c>
      <c r="B198" s="1" t="s">
        <v>5</v>
      </c>
      <c r="C198" s="1">
        <v>1765</v>
      </c>
      <c r="D198" s="1">
        <v>109</v>
      </c>
      <c r="E198" s="1">
        <v>468301</v>
      </c>
      <c r="F198" s="1">
        <v>1.82</v>
      </c>
      <c r="G198" s="1">
        <v>20042</v>
      </c>
      <c r="H198" s="4">
        <f t="shared" si="6"/>
        <v>5.7156000000000002</v>
      </c>
      <c r="I198">
        <f t="shared" si="7"/>
        <v>1656</v>
      </c>
    </row>
    <row r="199" spans="1:9" ht="14.25" customHeight="1" x14ac:dyDescent="0.25">
      <c r="A199" s="1" t="s">
        <v>4</v>
      </c>
      <c r="B199" s="1" t="s">
        <v>7</v>
      </c>
      <c r="C199" s="1">
        <v>837</v>
      </c>
      <c r="D199" s="1">
        <v>430</v>
      </c>
      <c r="E199" s="1">
        <v>364820</v>
      </c>
      <c r="F199" s="1">
        <v>4</v>
      </c>
      <c r="G199" s="1">
        <v>49400</v>
      </c>
      <c r="H199" s="4">
        <f t="shared" si="6"/>
        <v>5.6486000000000001</v>
      </c>
      <c r="I199">
        <f t="shared" si="7"/>
        <v>407</v>
      </c>
    </row>
    <row r="200" spans="1:9" ht="14.25" customHeight="1" x14ac:dyDescent="0.25">
      <c r="A200" s="1" t="s">
        <v>4</v>
      </c>
      <c r="B200" s="1" t="s">
        <v>1</v>
      </c>
      <c r="C200" s="1">
        <v>337</v>
      </c>
      <c r="D200" s="1">
        <v>68</v>
      </c>
      <c r="E200" s="1">
        <v>456298</v>
      </c>
      <c r="F200" s="1">
        <v>7.57</v>
      </c>
      <c r="G200" s="1">
        <v>4007</v>
      </c>
      <c r="H200" s="4">
        <f t="shared" si="6"/>
        <v>5.6558000000000002</v>
      </c>
      <c r="I200">
        <f t="shared" si="7"/>
        <v>269</v>
      </c>
    </row>
    <row r="201" spans="1:9" ht="14.25" customHeight="1" x14ac:dyDescent="0.25">
      <c r="A201" s="1" t="s">
        <v>4</v>
      </c>
      <c r="B201" s="1" t="s">
        <v>3</v>
      </c>
      <c r="C201" s="1">
        <v>119</v>
      </c>
      <c r="D201" s="1">
        <v>456</v>
      </c>
      <c r="E201" s="1">
        <v>82558</v>
      </c>
      <c r="F201" s="1">
        <v>6.81</v>
      </c>
      <c r="G201" s="1">
        <v>12174</v>
      </c>
      <c r="H201" s="4">
        <f t="shared" si="6"/>
        <v>5.5587999999999997</v>
      </c>
      <c r="I201">
        <f t="shared" si="7"/>
        <v>-337</v>
      </c>
    </row>
    <row r="202" spans="1:9" ht="14.25" customHeight="1" x14ac:dyDescent="0.25"/>
    <row r="203" spans="1:9" ht="14.25" customHeight="1" x14ac:dyDescent="0.25"/>
    <row r="204" spans="1:9" ht="14.25" customHeight="1" x14ac:dyDescent="0.25"/>
    <row r="205" spans="1:9" ht="14.25" customHeight="1" x14ac:dyDescent="0.25"/>
    <row r="206" spans="1:9" ht="14.25" customHeight="1" x14ac:dyDescent="0.25"/>
    <row r="207" spans="1:9" ht="14.25" customHeight="1" x14ac:dyDescent="0.25"/>
    <row r="208" spans="1:9"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1B113-2E2A-45B4-AD7D-8FCF8B3D93A5}">
  <sheetPr>
    <tabColor rgb="FFFF0000"/>
  </sheetPr>
  <dimension ref="A1:B8"/>
  <sheetViews>
    <sheetView workbookViewId="0">
      <selection activeCell="D10" sqref="D10"/>
    </sheetView>
  </sheetViews>
  <sheetFormatPr defaultRowHeight="15" x14ac:dyDescent="0.25"/>
  <cols>
    <col min="1" max="1" width="13.140625" bestFit="1" customWidth="1"/>
    <col min="2" max="2" width="18.28515625" customWidth="1"/>
  </cols>
  <sheetData>
    <row r="1" spans="1:2" x14ac:dyDescent="0.25">
      <c r="A1" s="12" t="s">
        <v>65</v>
      </c>
      <c r="B1" s="12"/>
    </row>
    <row r="2" spans="1:2" x14ac:dyDescent="0.25">
      <c r="A2" s="12"/>
      <c r="B2" s="12"/>
    </row>
    <row r="3" spans="1:2" x14ac:dyDescent="0.25">
      <c r="A3" s="2" t="s">
        <v>61</v>
      </c>
      <c r="B3" t="s">
        <v>63</v>
      </c>
    </row>
    <row r="4" spans="1:2" x14ac:dyDescent="0.25">
      <c r="A4" s="3" t="s">
        <v>5</v>
      </c>
      <c r="B4" s="4">
        <v>285.77999999999986</v>
      </c>
    </row>
    <row r="5" spans="1:2" x14ac:dyDescent="0.25">
      <c r="A5" s="3" t="s">
        <v>1</v>
      </c>
      <c r="B5" s="4">
        <v>282.79000000000002</v>
      </c>
    </row>
    <row r="6" spans="1:2" x14ac:dyDescent="0.25">
      <c r="A6" s="3" t="s">
        <v>7</v>
      </c>
      <c r="B6" s="4">
        <v>282.42999999999972</v>
      </c>
    </row>
    <row r="7" spans="1:2" x14ac:dyDescent="0.25">
      <c r="A7" s="3" t="s">
        <v>3</v>
      </c>
      <c r="B7" s="4">
        <v>277.93999999999988</v>
      </c>
    </row>
    <row r="8" spans="1:2" x14ac:dyDescent="0.25">
      <c r="A8" s="3" t="s">
        <v>62</v>
      </c>
      <c r="B8" s="4">
        <v>1128.9399999999994</v>
      </c>
    </row>
  </sheetData>
  <mergeCells count="1">
    <mergeCell ref="A1:B2"/>
  </mergeCells>
  <conditionalFormatting pivot="1" sqref="B4">
    <cfRule type="expression" dxfId="3" priority="1">
      <formula>$B$4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F7CD-87F3-40F2-8BBA-B802B09D0685}">
  <sheetPr>
    <tabColor rgb="FFFF0000"/>
  </sheetPr>
  <dimension ref="A1:B8"/>
  <sheetViews>
    <sheetView workbookViewId="0">
      <selection activeCell="G8" sqref="G8"/>
    </sheetView>
  </sheetViews>
  <sheetFormatPr defaultRowHeight="15" x14ac:dyDescent="0.25"/>
  <cols>
    <col min="1" max="1" width="13.140625" bestFit="1" customWidth="1"/>
    <col min="2" max="2" width="29.7109375" bestFit="1" customWidth="1"/>
  </cols>
  <sheetData>
    <row r="1" spans="1:2" x14ac:dyDescent="0.25">
      <c r="A1" s="13" t="s">
        <v>68</v>
      </c>
      <c r="B1" s="13"/>
    </row>
    <row r="2" spans="1:2" x14ac:dyDescent="0.25">
      <c r="A2" s="13"/>
      <c r="B2" s="13"/>
    </row>
    <row r="3" spans="1:2" x14ac:dyDescent="0.25">
      <c r="A3" s="2" t="s">
        <v>61</v>
      </c>
      <c r="B3" t="s">
        <v>67</v>
      </c>
    </row>
    <row r="4" spans="1:2" x14ac:dyDescent="0.25">
      <c r="A4" s="3" t="s">
        <v>7</v>
      </c>
      <c r="B4">
        <v>35557</v>
      </c>
    </row>
    <row r="5" spans="1:2" x14ac:dyDescent="0.25">
      <c r="A5" s="3" t="s">
        <v>5</v>
      </c>
      <c r="B5" s="7">
        <v>48004</v>
      </c>
    </row>
    <row r="6" spans="1:2" x14ac:dyDescent="0.25">
      <c r="A6" s="3" t="s">
        <v>1</v>
      </c>
      <c r="B6">
        <v>41177</v>
      </c>
    </row>
    <row r="7" spans="1:2" x14ac:dyDescent="0.25">
      <c r="A7" s="3" t="s">
        <v>3</v>
      </c>
      <c r="B7">
        <v>35367</v>
      </c>
    </row>
    <row r="8" spans="1:2" x14ac:dyDescent="0.25">
      <c r="A8" s="3" t="s">
        <v>62</v>
      </c>
      <c r="B8">
        <v>160105</v>
      </c>
    </row>
  </sheetData>
  <mergeCells count="1">
    <mergeCell ref="A1:B2"/>
  </mergeCells>
  <conditionalFormatting pivot="1" sqref="B5">
    <cfRule type="expression" dxfId="2" priority="1">
      <formula>$B$5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4B6A4-BE70-47E3-B4CF-B20DC2913D04}">
  <sheetPr filterMode="1">
    <tabColor rgb="FFFF0000"/>
  </sheetPr>
  <dimension ref="A1:S201"/>
  <sheetViews>
    <sheetView tabSelected="1" zoomScale="90" zoomScaleNormal="90" workbookViewId="0"/>
  </sheetViews>
  <sheetFormatPr defaultRowHeight="15" x14ac:dyDescent="0.25"/>
  <cols>
    <col min="2" max="2" width="23.5703125" customWidth="1"/>
    <col min="3" max="3" width="20" customWidth="1"/>
  </cols>
  <sheetData>
    <row r="1" spans="1:18" ht="27" customHeight="1" x14ac:dyDescent="0.25">
      <c r="A1" s="8" t="s">
        <v>0</v>
      </c>
      <c r="B1" s="9" t="s">
        <v>41</v>
      </c>
      <c r="C1" s="9" t="s">
        <v>42</v>
      </c>
    </row>
    <row r="2" spans="1:18" x14ac:dyDescent="0.25">
      <c r="A2" s="1" t="s">
        <v>5</v>
      </c>
      <c r="B2" s="1">
        <v>8.06</v>
      </c>
      <c r="C2" s="1">
        <v>5904</v>
      </c>
    </row>
    <row r="3" spans="1:18" ht="15" hidden="1" customHeight="1" x14ac:dyDescent="0.25">
      <c r="A3" s="1" t="s">
        <v>7</v>
      </c>
      <c r="B3" s="1">
        <v>4.9800000000000004</v>
      </c>
      <c r="C3" s="1">
        <v>9566</v>
      </c>
      <c r="O3" s="14" t="s">
        <v>69</v>
      </c>
      <c r="P3" s="14"/>
      <c r="Q3" s="14"/>
      <c r="R3" s="14"/>
    </row>
    <row r="4" spans="1:18" ht="15" hidden="1" customHeight="1" x14ac:dyDescent="0.25">
      <c r="A4" s="1" t="s">
        <v>1</v>
      </c>
      <c r="B4" s="1">
        <v>8.31</v>
      </c>
      <c r="C4" s="1">
        <v>26752</v>
      </c>
      <c r="O4" s="14"/>
      <c r="P4" s="14"/>
      <c r="Q4" s="14"/>
      <c r="R4" s="14"/>
    </row>
    <row r="5" spans="1:18" ht="15" hidden="1" customHeight="1" x14ac:dyDescent="0.25">
      <c r="A5" s="1" t="s">
        <v>3</v>
      </c>
      <c r="B5" s="1">
        <v>4.1100000000000003</v>
      </c>
      <c r="C5" s="1">
        <v>30671</v>
      </c>
      <c r="O5" s="14"/>
      <c r="P5" s="14"/>
      <c r="Q5" s="14"/>
      <c r="R5" s="14"/>
    </row>
    <row r="6" spans="1:18" x14ac:dyDescent="0.25">
      <c r="A6" s="1" t="s">
        <v>5</v>
      </c>
      <c r="B6" s="1">
        <v>9.0500000000000007</v>
      </c>
      <c r="C6" s="1">
        <v>9920</v>
      </c>
      <c r="O6" s="15"/>
      <c r="P6" s="15"/>
      <c r="Q6" s="15"/>
      <c r="R6" s="15"/>
    </row>
    <row r="7" spans="1:18" ht="15" hidden="1" customHeight="1" x14ac:dyDescent="0.25">
      <c r="A7" s="1" t="s">
        <v>7</v>
      </c>
      <c r="B7" s="1">
        <v>2.37</v>
      </c>
      <c r="C7" s="1">
        <v>7924</v>
      </c>
      <c r="O7" s="14"/>
      <c r="P7" s="14"/>
      <c r="Q7" s="14"/>
      <c r="R7" s="14"/>
    </row>
    <row r="8" spans="1:18" ht="15" hidden="1" customHeight="1" x14ac:dyDescent="0.25">
      <c r="A8" s="1" t="s">
        <v>1</v>
      </c>
      <c r="B8" s="1">
        <v>4.01</v>
      </c>
      <c r="C8" s="1">
        <v>8912</v>
      </c>
      <c r="O8" s="14"/>
      <c r="P8" s="14"/>
      <c r="Q8" s="14"/>
      <c r="R8" s="14"/>
    </row>
    <row r="9" spans="1:18" ht="15" hidden="1" customHeight="1" x14ac:dyDescent="0.25">
      <c r="A9" s="1" t="s">
        <v>3</v>
      </c>
      <c r="B9" s="1">
        <v>3.16</v>
      </c>
      <c r="C9" s="1">
        <v>21205</v>
      </c>
      <c r="O9" s="14"/>
      <c r="P9" s="14"/>
      <c r="Q9" s="14"/>
      <c r="R9" s="14"/>
    </row>
    <row r="10" spans="1:18" x14ac:dyDescent="0.25">
      <c r="A10" s="1" t="s">
        <v>5</v>
      </c>
      <c r="B10" s="1">
        <v>2.46</v>
      </c>
      <c r="C10" s="1">
        <v>11329</v>
      </c>
      <c r="O10" s="15"/>
      <c r="P10" s="15"/>
      <c r="Q10" s="15"/>
      <c r="R10" s="15"/>
    </row>
    <row r="11" spans="1:18" ht="15" hidden="1" customHeight="1" x14ac:dyDescent="0.25">
      <c r="A11" s="1" t="s">
        <v>7</v>
      </c>
      <c r="B11" s="1">
        <v>8.11</v>
      </c>
      <c r="C11" s="1">
        <v>46670</v>
      </c>
      <c r="O11" s="14"/>
      <c r="P11" s="14"/>
      <c r="Q11" s="14"/>
      <c r="R11" s="14"/>
    </row>
    <row r="12" spans="1:18" ht="15" hidden="1" customHeight="1" x14ac:dyDescent="0.25">
      <c r="A12" s="1" t="s">
        <v>1</v>
      </c>
      <c r="B12" s="1">
        <v>8.19</v>
      </c>
      <c r="C12" s="1">
        <v>22482</v>
      </c>
      <c r="O12" s="14"/>
      <c r="P12" s="14"/>
      <c r="Q12" s="14"/>
      <c r="R12" s="14"/>
    </row>
    <row r="13" spans="1:18" ht="15" hidden="1" customHeight="1" x14ac:dyDescent="0.25">
      <c r="A13" s="1" t="s">
        <v>3</v>
      </c>
      <c r="B13" s="1">
        <v>3.49</v>
      </c>
      <c r="C13" s="1">
        <v>24313</v>
      </c>
      <c r="O13" s="14"/>
      <c r="P13" s="14"/>
      <c r="Q13" s="14"/>
      <c r="R13" s="14"/>
    </row>
    <row r="14" spans="1:18" x14ac:dyDescent="0.25">
      <c r="A14" s="1" t="s">
        <v>5</v>
      </c>
      <c r="B14" s="1">
        <v>6.92</v>
      </c>
      <c r="C14" s="1">
        <v>18050</v>
      </c>
      <c r="O14" s="15"/>
      <c r="P14" s="15"/>
      <c r="Q14" s="15"/>
      <c r="R14" s="15"/>
    </row>
    <row r="15" spans="1:18" ht="15" hidden="1" customHeight="1" x14ac:dyDescent="0.25">
      <c r="A15" s="1" t="s">
        <v>7</v>
      </c>
      <c r="B15" s="1">
        <v>9.1199999999999992</v>
      </c>
      <c r="C15" s="1">
        <v>30635</v>
      </c>
      <c r="O15" s="14"/>
      <c r="P15" s="14"/>
      <c r="Q15" s="14"/>
      <c r="R15" s="14"/>
    </row>
    <row r="16" spans="1:18" ht="15" hidden="1" customHeight="1" x14ac:dyDescent="0.25">
      <c r="A16" s="1" t="s">
        <v>1</v>
      </c>
      <c r="B16" s="1">
        <v>3.5</v>
      </c>
      <c r="C16" s="1">
        <v>31280</v>
      </c>
      <c r="O16" s="14"/>
      <c r="P16" s="14"/>
      <c r="Q16" s="14"/>
      <c r="R16" s="14"/>
    </row>
    <row r="17" spans="1:18" ht="15" hidden="1" customHeight="1" x14ac:dyDescent="0.25">
      <c r="A17" s="1" t="s">
        <v>3</v>
      </c>
      <c r="B17" s="1">
        <v>2.62</v>
      </c>
      <c r="C17" s="1">
        <v>1783</v>
      </c>
      <c r="O17" s="14"/>
      <c r="P17" s="14"/>
      <c r="Q17" s="14"/>
      <c r="R17" s="14"/>
    </row>
    <row r="18" spans="1:18" x14ac:dyDescent="0.25">
      <c r="A18" s="1" t="s">
        <v>5</v>
      </c>
      <c r="B18" s="1">
        <v>9.36</v>
      </c>
      <c r="C18" s="1">
        <v>9566</v>
      </c>
      <c r="O18" s="15"/>
      <c r="P18" s="15"/>
      <c r="Q18" s="15"/>
      <c r="R18" s="15"/>
    </row>
    <row r="19" spans="1:18" ht="15" hidden="1" customHeight="1" x14ac:dyDescent="0.25">
      <c r="A19" s="1" t="s">
        <v>7</v>
      </c>
      <c r="B19" s="1">
        <v>4.4800000000000004</v>
      </c>
      <c r="C19" s="1">
        <v>42307</v>
      </c>
      <c r="O19" s="14"/>
      <c r="P19" s="14"/>
      <c r="Q19" s="14"/>
      <c r="R19" s="14"/>
    </row>
    <row r="20" spans="1:18" ht="15" hidden="1" customHeight="1" x14ac:dyDescent="0.25">
      <c r="A20" s="1" t="s">
        <v>1</v>
      </c>
      <c r="B20" s="1">
        <v>6.19</v>
      </c>
      <c r="C20" s="1">
        <v>5914</v>
      </c>
      <c r="O20" s="14"/>
      <c r="P20" s="14"/>
      <c r="Q20" s="14"/>
      <c r="R20" s="14"/>
    </row>
    <row r="21" spans="1:18" ht="15" hidden="1" customHeight="1" x14ac:dyDescent="0.25">
      <c r="A21" s="1" t="s">
        <v>3</v>
      </c>
      <c r="B21" s="1">
        <v>8.7200000000000006</v>
      </c>
      <c r="C21" s="1">
        <v>30060</v>
      </c>
      <c r="O21" s="14"/>
      <c r="P21" s="14"/>
      <c r="Q21" s="14"/>
      <c r="R21" s="14"/>
    </row>
    <row r="22" spans="1:18" x14ac:dyDescent="0.25">
      <c r="A22" s="1" t="s">
        <v>5</v>
      </c>
      <c r="B22" s="1">
        <v>8.74</v>
      </c>
      <c r="C22" s="1">
        <v>22728</v>
      </c>
      <c r="O22" s="15"/>
      <c r="P22" s="15"/>
      <c r="Q22" s="15"/>
      <c r="R22" s="15"/>
    </row>
    <row r="23" spans="1:18" ht="15" hidden="1" customHeight="1" x14ac:dyDescent="0.25">
      <c r="A23" s="1" t="s">
        <v>7</v>
      </c>
      <c r="B23" s="1">
        <v>1.91</v>
      </c>
      <c r="C23" s="1">
        <v>38610</v>
      </c>
      <c r="O23" s="14"/>
      <c r="P23" s="14"/>
      <c r="Q23" s="14"/>
      <c r="R23" s="14"/>
    </row>
    <row r="24" spans="1:18" ht="15" hidden="1" customHeight="1" x14ac:dyDescent="0.25">
      <c r="A24" s="1" t="s">
        <v>1</v>
      </c>
      <c r="B24" s="1">
        <v>4.66</v>
      </c>
      <c r="C24" s="1">
        <v>2932</v>
      </c>
      <c r="O24" s="14"/>
      <c r="P24" s="14"/>
      <c r="Q24" s="14"/>
      <c r="R24" s="14"/>
    </row>
    <row r="25" spans="1:18" ht="15" hidden="1" customHeight="1" x14ac:dyDescent="0.25">
      <c r="A25" s="1" t="s">
        <v>3</v>
      </c>
      <c r="B25" s="1">
        <v>2.88</v>
      </c>
      <c r="C25" s="1">
        <v>15071</v>
      </c>
      <c r="O25" s="14"/>
      <c r="P25" s="14"/>
      <c r="Q25" s="14"/>
      <c r="R25" s="14"/>
    </row>
    <row r="26" spans="1:18" x14ac:dyDescent="0.25">
      <c r="A26" s="1" t="s">
        <v>5</v>
      </c>
      <c r="B26" s="1">
        <v>3.74</v>
      </c>
      <c r="C26" s="1">
        <v>10740</v>
      </c>
      <c r="O26" s="15"/>
      <c r="P26" s="15"/>
      <c r="Q26" s="15"/>
      <c r="R26" s="15"/>
    </row>
    <row r="27" spans="1:18" ht="15" hidden="1" customHeight="1" x14ac:dyDescent="0.25">
      <c r="A27" s="1" t="s">
        <v>7</v>
      </c>
      <c r="B27" s="1">
        <v>6.44</v>
      </c>
      <c r="C27" s="1">
        <v>43420</v>
      </c>
      <c r="O27" s="14"/>
      <c r="P27" s="14"/>
      <c r="Q27" s="14"/>
      <c r="R27" s="14"/>
    </row>
    <row r="28" spans="1:18" ht="15" hidden="1" customHeight="1" x14ac:dyDescent="0.25">
      <c r="A28" s="1" t="s">
        <v>1</v>
      </c>
      <c r="B28" s="1">
        <v>8.56</v>
      </c>
      <c r="C28" s="1">
        <v>32393</v>
      </c>
      <c r="O28" s="10"/>
      <c r="P28" s="10"/>
      <c r="Q28" s="10"/>
      <c r="R28" s="10"/>
    </row>
    <row r="29" spans="1:18" ht="15" hidden="1" customHeight="1" x14ac:dyDescent="0.25">
      <c r="A29" s="1" t="s">
        <v>3</v>
      </c>
      <c r="B29" s="1">
        <v>4.5599999999999996</v>
      </c>
      <c r="C29" s="1">
        <v>28474</v>
      </c>
      <c r="O29" s="10"/>
      <c r="P29" s="10"/>
      <c r="Q29" s="10"/>
      <c r="R29" s="10"/>
    </row>
    <row r="30" spans="1:18" ht="15" customHeight="1" x14ac:dyDescent="0.25">
      <c r="A30" s="1" t="s">
        <v>5</v>
      </c>
      <c r="B30" s="1">
        <v>7.88</v>
      </c>
      <c r="C30" s="1">
        <v>17328</v>
      </c>
      <c r="O30" s="10"/>
      <c r="P30" s="10"/>
      <c r="Q30" s="10"/>
      <c r="R30" s="10"/>
    </row>
    <row r="31" spans="1:18" hidden="1" x14ac:dyDescent="0.25">
      <c r="A31" s="1" t="s">
        <v>7</v>
      </c>
      <c r="B31" s="1">
        <v>7.86</v>
      </c>
      <c r="C31" s="1">
        <v>26067</v>
      </c>
      <c r="O31" s="11"/>
      <c r="P31" s="11"/>
      <c r="Q31" s="11"/>
      <c r="R31" s="11"/>
    </row>
    <row r="32" spans="1:18" ht="15" hidden="1" customHeight="1" x14ac:dyDescent="0.25">
      <c r="A32" s="1" t="s">
        <v>1</v>
      </c>
      <c r="B32" s="1">
        <v>5.34</v>
      </c>
      <c r="C32" s="1">
        <v>32763</v>
      </c>
      <c r="O32" s="10"/>
      <c r="P32" s="10"/>
      <c r="Q32" s="10"/>
      <c r="R32" s="10"/>
    </row>
    <row r="33" spans="1:19" ht="15" hidden="1" customHeight="1" x14ac:dyDescent="0.25">
      <c r="A33" s="1" t="s">
        <v>3</v>
      </c>
      <c r="B33" s="1">
        <v>5.52</v>
      </c>
      <c r="C33" s="1">
        <v>26452</v>
      </c>
      <c r="O33" s="10"/>
      <c r="P33" s="10"/>
      <c r="Q33" s="10"/>
      <c r="R33" s="10"/>
    </row>
    <row r="34" spans="1:19" ht="15" customHeight="1" x14ac:dyDescent="0.25">
      <c r="A34" s="1" t="s">
        <v>5</v>
      </c>
      <c r="B34" s="1">
        <v>4.05</v>
      </c>
      <c r="C34" s="1">
        <v>15353</v>
      </c>
      <c r="O34" s="10"/>
      <c r="P34" s="10"/>
      <c r="Q34" s="10"/>
      <c r="R34" s="10"/>
    </row>
    <row r="35" spans="1:19" hidden="1" x14ac:dyDescent="0.25">
      <c r="A35" s="1" t="s">
        <v>7</v>
      </c>
      <c r="B35" s="1">
        <v>7.73</v>
      </c>
      <c r="C35" s="1">
        <v>4839</v>
      </c>
      <c r="O35" s="11"/>
      <c r="P35" s="11"/>
      <c r="Q35" s="11"/>
      <c r="R35" s="11"/>
    </row>
    <row r="36" spans="1:19" ht="15" hidden="1" customHeight="1" x14ac:dyDescent="0.25">
      <c r="A36" s="1" t="s">
        <v>1</v>
      </c>
      <c r="B36" s="1">
        <v>4.3600000000000003</v>
      </c>
      <c r="C36" s="1">
        <v>39272</v>
      </c>
      <c r="O36" s="10"/>
      <c r="P36" s="10"/>
      <c r="Q36" s="10"/>
      <c r="R36" s="10"/>
    </row>
    <row r="37" spans="1:19" ht="15" hidden="1" customHeight="1" x14ac:dyDescent="0.25">
      <c r="A37" s="1" t="s">
        <v>3</v>
      </c>
      <c r="B37" s="1">
        <v>3.48</v>
      </c>
      <c r="C37" s="1">
        <v>16804</v>
      </c>
      <c r="O37" s="10"/>
      <c r="P37" s="10"/>
      <c r="Q37" s="10"/>
      <c r="R37" s="10"/>
    </row>
    <row r="38" spans="1:19" ht="15" customHeight="1" x14ac:dyDescent="0.25">
      <c r="A38" s="1" t="s">
        <v>5</v>
      </c>
      <c r="B38" s="1">
        <v>7.83</v>
      </c>
      <c r="C38" s="1">
        <v>49303</v>
      </c>
      <c r="O38" s="10"/>
      <c r="P38" s="10"/>
      <c r="Q38" s="10"/>
      <c r="R38" s="10"/>
    </row>
    <row r="39" spans="1:19" ht="15" hidden="1" customHeight="1" x14ac:dyDescent="0.25">
      <c r="A39" s="1" t="s">
        <v>7</v>
      </c>
      <c r="B39" s="1">
        <v>6.11</v>
      </c>
      <c r="C39" s="1">
        <v>26455</v>
      </c>
      <c r="O39" s="10"/>
      <c r="P39" s="10"/>
      <c r="Q39" s="10"/>
      <c r="R39" s="10"/>
      <c r="S39" s="10"/>
    </row>
    <row r="40" spans="1:19" ht="15" hidden="1" customHeight="1" x14ac:dyDescent="0.25">
      <c r="A40" s="1" t="s">
        <v>1</v>
      </c>
      <c r="B40" s="1">
        <v>9.43</v>
      </c>
      <c r="C40" s="1">
        <v>12384</v>
      </c>
      <c r="O40" s="10"/>
      <c r="P40" s="10"/>
      <c r="Q40" s="10"/>
      <c r="R40" s="10"/>
      <c r="S40" s="10"/>
    </row>
    <row r="41" spans="1:19" ht="15" hidden="1" customHeight="1" x14ac:dyDescent="0.25">
      <c r="A41" s="1" t="s">
        <v>3</v>
      </c>
      <c r="B41" s="1">
        <v>4.04</v>
      </c>
      <c r="C41" s="1">
        <v>49372</v>
      </c>
      <c r="O41" s="10"/>
      <c r="P41" s="10"/>
      <c r="Q41" s="10"/>
      <c r="R41" s="10"/>
      <c r="S41" s="10"/>
    </row>
    <row r="42" spans="1:19" ht="15" customHeight="1" x14ac:dyDescent="0.25">
      <c r="A42" s="1" t="s">
        <v>5</v>
      </c>
      <c r="B42" s="1">
        <v>6.23</v>
      </c>
      <c r="C42" s="1">
        <v>47101</v>
      </c>
    </row>
    <row r="43" spans="1:19" ht="15" hidden="1" customHeight="1" x14ac:dyDescent="0.25">
      <c r="A43" s="1" t="s">
        <v>7</v>
      </c>
      <c r="B43" s="1">
        <v>6.01</v>
      </c>
      <c r="C43" s="1">
        <v>37903</v>
      </c>
    </row>
    <row r="44" spans="1:19" ht="15" hidden="1" customHeight="1" x14ac:dyDescent="0.25">
      <c r="A44" s="1" t="s">
        <v>1</v>
      </c>
      <c r="B44" s="1">
        <v>8.5500000000000007</v>
      </c>
      <c r="C44" s="1">
        <v>33258</v>
      </c>
    </row>
    <row r="45" spans="1:19" ht="15" hidden="1" customHeight="1" x14ac:dyDescent="0.25">
      <c r="A45" s="1" t="s">
        <v>3</v>
      </c>
      <c r="B45" s="1">
        <v>5.42</v>
      </c>
      <c r="C45" s="1">
        <v>6915</v>
      </c>
    </row>
    <row r="46" spans="1:19" ht="15" customHeight="1" x14ac:dyDescent="0.25">
      <c r="A46" s="1" t="s">
        <v>5</v>
      </c>
      <c r="B46" s="1">
        <v>3.25</v>
      </c>
      <c r="C46" s="1">
        <v>35501</v>
      </c>
    </row>
    <row r="47" spans="1:19" ht="15" hidden="1" customHeight="1" x14ac:dyDescent="0.25">
      <c r="A47" s="1" t="s">
        <v>7</v>
      </c>
      <c r="B47" s="1">
        <v>8.84</v>
      </c>
      <c r="C47" s="1">
        <v>14203</v>
      </c>
    </row>
    <row r="48" spans="1:19" ht="15" hidden="1" customHeight="1" x14ac:dyDescent="0.25">
      <c r="A48" s="1" t="s">
        <v>1</v>
      </c>
      <c r="B48" s="1">
        <v>7.24</v>
      </c>
      <c r="C48" s="1">
        <v>22206</v>
      </c>
    </row>
    <row r="49" spans="1:3" ht="15" hidden="1" customHeight="1" x14ac:dyDescent="0.25">
      <c r="A49" s="1" t="s">
        <v>3</v>
      </c>
      <c r="B49" s="1">
        <v>6.19</v>
      </c>
      <c r="C49" s="1">
        <v>10283</v>
      </c>
    </row>
    <row r="50" spans="1:3" ht="15" customHeight="1" x14ac:dyDescent="0.25">
      <c r="A50" s="1" t="s">
        <v>5</v>
      </c>
      <c r="B50" s="1">
        <v>5.71</v>
      </c>
      <c r="C50" s="1">
        <v>24913</v>
      </c>
    </row>
    <row r="51" spans="1:3" ht="15" hidden="1" customHeight="1" x14ac:dyDescent="0.25">
      <c r="A51" s="1" t="s">
        <v>7</v>
      </c>
      <c r="B51" s="1">
        <v>9.0399999999999991</v>
      </c>
      <c r="C51" s="1">
        <v>26925</v>
      </c>
    </row>
    <row r="52" spans="1:3" ht="15" hidden="1" customHeight="1" x14ac:dyDescent="0.25">
      <c r="A52" s="1" t="s">
        <v>1</v>
      </c>
      <c r="B52" s="1">
        <v>3.91</v>
      </c>
      <c r="C52" s="1">
        <v>9942</v>
      </c>
    </row>
    <row r="53" spans="1:3" ht="15" hidden="1" customHeight="1" x14ac:dyDescent="0.25">
      <c r="A53" s="1" t="s">
        <v>3</v>
      </c>
      <c r="B53" s="1">
        <v>7.83</v>
      </c>
      <c r="C53" s="1">
        <v>32929</v>
      </c>
    </row>
    <row r="54" spans="1:3" ht="15" customHeight="1" x14ac:dyDescent="0.25">
      <c r="A54" s="1" t="s">
        <v>5</v>
      </c>
      <c r="B54" s="1">
        <v>7.16</v>
      </c>
      <c r="C54" s="1">
        <v>37829</v>
      </c>
    </row>
    <row r="55" spans="1:3" ht="15" hidden="1" customHeight="1" x14ac:dyDescent="0.25">
      <c r="A55" s="1" t="s">
        <v>7</v>
      </c>
      <c r="B55" s="1">
        <v>6.41</v>
      </c>
      <c r="C55" s="1">
        <v>24384</v>
      </c>
    </row>
    <row r="56" spans="1:3" ht="15" hidden="1" customHeight="1" x14ac:dyDescent="0.25">
      <c r="A56" s="1" t="s">
        <v>1</v>
      </c>
      <c r="B56" s="1">
        <v>8.02</v>
      </c>
      <c r="C56" s="1">
        <v>25797</v>
      </c>
    </row>
    <row r="57" spans="1:3" ht="15" hidden="1" customHeight="1" x14ac:dyDescent="0.25">
      <c r="A57" s="1" t="s">
        <v>3</v>
      </c>
      <c r="B57" s="1">
        <v>3.86</v>
      </c>
      <c r="C57" s="1">
        <v>12646</v>
      </c>
    </row>
    <row r="58" spans="1:3" ht="15" customHeight="1" x14ac:dyDescent="0.25">
      <c r="A58" s="1" t="s">
        <v>5</v>
      </c>
      <c r="B58" s="1">
        <v>9.09</v>
      </c>
      <c r="C58" s="1">
        <v>26663</v>
      </c>
    </row>
    <row r="59" spans="1:3" ht="15" hidden="1" customHeight="1" x14ac:dyDescent="0.25">
      <c r="A59" s="1" t="s">
        <v>7</v>
      </c>
      <c r="B59" s="1">
        <v>1.76</v>
      </c>
      <c r="C59" s="1">
        <v>40478</v>
      </c>
    </row>
    <row r="60" spans="1:3" ht="15" hidden="1" customHeight="1" x14ac:dyDescent="0.25">
      <c r="A60" s="1" t="s">
        <v>1</v>
      </c>
      <c r="B60" s="1">
        <v>9.24</v>
      </c>
      <c r="C60" s="1">
        <v>15476</v>
      </c>
    </row>
    <row r="61" spans="1:3" ht="15" hidden="1" customHeight="1" x14ac:dyDescent="0.25">
      <c r="A61" s="1" t="s">
        <v>3</v>
      </c>
      <c r="B61" s="1">
        <v>8.99</v>
      </c>
      <c r="C61" s="1">
        <v>10217</v>
      </c>
    </row>
    <row r="62" spans="1:3" ht="15" customHeight="1" x14ac:dyDescent="0.25">
      <c r="A62" s="1" t="s">
        <v>5</v>
      </c>
      <c r="B62" s="1">
        <v>3.4</v>
      </c>
      <c r="C62" s="1">
        <v>21939</v>
      </c>
    </row>
    <row r="63" spans="1:3" ht="15" hidden="1" customHeight="1" x14ac:dyDescent="0.25">
      <c r="A63" s="1" t="s">
        <v>7</v>
      </c>
      <c r="B63" s="1">
        <v>9.1999999999999993</v>
      </c>
      <c r="C63" s="1">
        <v>47462</v>
      </c>
    </row>
    <row r="64" spans="1:3" ht="15" hidden="1" customHeight="1" x14ac:dyDescent="0.25">
      <c r="A64" s="1" t="s">
        <v>1</v>
      </c>
      <c r="B64" s="1">
        <v>8.59</v>
      </c>
      <c r="C64" s="1">
        <v>30270</v>
      </c>
    </row>
    <row r="65" spans="1:3" ht="15" hidden="1" customHeight="1" x14ac:dyDescent="0.25">
      <c r="A65" s="1" t="s">
        <v>3</v>
      </c>
      <c r="B65" s="1">
        <v>3.5</v>
      </c>
      <c r="C65" s="1">
        <v>5442</v>
      </c>
    </row>
    <row r="66" spans="1:3" ht="15" customHeight="1" x14ac:dyDescent="0.25">
      <c r="A66" s="1" t="s">
        <v>5</v>
      </c>
      <c r="B66" s="1">
        <v>2.36</v>
      </c>
      <c r="C66" s="1">
        <v>1083</v>
      </c>
    </row>
    <row r="67" spans="1:3" ht="15" hidden="1" customHeight="1" x14ac:dyDescent="0.25">
      <c r="A67" s="1" t="s">
        <v>7</v>
      </c>
      <c r="B67" s="1">
        <v>7.36</v>
      </c>
      <c r="C67" s="1">
        <v>11901</v>
      </c>
    </row>
    <row r="68" spans="1:3" ht="15" hidden="1" customHeight="1" x14ac:dyDescent="0.25">
      <c r="A68" s="1" t="s">
        <v>1</v>
      </c>
      <c r="B68" s="1">
        <v>8.5500000000000007</v>
      </c>
      <c r="C68" s="1">
        <v>24018</v>
      </c>
    </row>
    <row r="69" spans="1:3" ht="15" hidden="1" customHeight="1" x14ac:dyDescent="0.25">
      <c r="A69" s="1" t="s">
        <v>3</v>
      </c>
      <c r="B69" s="1">
        <v>8.1300000000000008</v>
      </c>
      <c r="C69" s="1">
        <v>38883</v>
      </c>
    </row>
    <row r="70" spans="1:3" ht="15" customHeight="1" x14ac:dyDescent="0.25">
      <c r="A70" s="1" t="s">
        <v>5</v>
      </c>
      <c r="B70" s="1">
        <v>3.3</v>
      </c>
      <c r="C70" s="1">
        <v>30575</v>
      </c>
    </row>
    <row r="71" spans="1:3" ht="15" hidden="1" customHeight="1" x14ac:dyDescent="0.25">
      <c r="A71" s="1" t="s">
        <v>7</v>
      </c>
      <c r="B71" s="1">
        <v>1.77</v>
      </c>
      <c r="C71" s="1">
        <v>2315</v>
      </c>
    </row>
    <row r="72" spans="1:3" hidden="1" x14ac:dyDescent="0.25">
      <c r="A72" s="1" t="s">
        <v>1</v>
      </c>
      <c r="B72" s="1">
        <v>2.09</v>
      </c>
      <c r="C72" s="1">
        <v>12148</v>
      </c>
    </row>
    <row r="73" spans="1:3" hidden="1" x14ac:dyDescent="0.25">
      <c r="A73" s="1" t="s">
        <v>3</v>
      </c>
      <c r="B73" s="1">
        <v>7.36</v>
      </c>
      <c r="C73" s="1">
        <v>36851</v>
      </c>
    </row>
    <row r="74" spans="1:3" x14ac:dyDescent="0.25">
      <c r="A74" s="1" t="s">
        <v>5</v>
      </c>
      <c r="B74" s="1">
        <v>6.25</v>
      </c>
      <c r="C74" s="1">
        <v>41215</v>
      </c>
    </row>
    <row r="75" spans="1:3" hidden="1" x14ac:dyDescent="0.25">
      <c r="A75" s="1" t="s">
        <v>7</v>
      </c>
      <c r="B75" s="1">
        <v>1.75</v>
      </c>
      <c r="C75" s="1">
        <v>43836</v>
      </c>
    </row>
    <row r="76" spans="1:3" hidden="1" x14ac:dyDescent="0.25">
      <c r="A76" s="1" t="s">
        <v>1</v>
      </c>
      <c r="B76" s="1">
        <v>4.97</v>
      </c>
      <c r="C76" s="1">
        <v>4509</v>
      </c>
    </row>
    <row r="77" spans="1:3" hidden="1" x14ac:dyDescent="0.25">
      <c r="A77" s="1" t="s">
        <v>3</v>
      </c>
      <c r="B77" s="1">
        <v>9.3000000000000007</v>
      </c>
      <c r="C77" s="1">
        <v>27822</v>
      </c>
    </row>
    <row r="78" spans="1:3" x14ac:dyDescent="0.25">
      <c r="A78" s="1" t="s">
        <v>5</v>
      </c>
      <c r="B78" s="1">
        <v>8.9</v>
      </c>
      <c r="C78" s="1">
        <v>36397</v>
      </c>
    </row>
    <row r="79" spans="1:3" hidden="1" x14ac:dyDescent="0.25">
      <c r="A79" s="1" t="s">
        <v>7</v>
      </c>
      <c r="B79" s="1">
        <v>3.88</v>
      </c>
      <c r="C79" s="1">
        <v>7285</v>
      </c>
    </row>
    <row r="80" spans="1:3" hidden="1" x14ac:dyDescent="0.25">
      <c r="A80" s="1" t="s">
        <v>1</v>
      </c>
      <c r="B80" s="1">
        <v>5.9</v>
      </c>
      <c r="C80" s="1">
        <v>33174</v>
      </c>
    </row>
    <row r="81" spans="1:11" hidden="1" x14ac:dyDescent="0.25">
      <c r="A81" s="1" t="s">
        <v>3</v>
      </c>
      <c r="B81" s="1">
        <v>1.53</v>
      </c>
      <c r="C81" s="1">
        <v>6742</v>
      </c>
    </row>
    <row r="82" spans="1:11" ht="15" customHeight="1" x14ac:dyDescent="0.25">
      <c r="A82" s="1" t="s">
        <v>5</v>
      </c>
      <c r="B82" s="1">
        <v>6.5</v>
      </c>
      <c r="C82" s="1">
        <v>32478</v>
      </c>
      <c r="E82" s="14" t="s">
        <v>70</v>
      </c>
      <c r="F82" s="14"/>
      <c r="G82" s="14"/>
      <c r="H82" s="14"/>
      <c r="I82" s="14"/>
      <c r="J82" s="14"/>
      <c r="K82" s="14"/>
    </row>
    <row r="83" spans="1:11" ht="15" hidden="1" customHeight="1" x14ac:dyDescent="0.25">
      <c r="A83" s="1" t="s">
        <v>7</v>
      </c>
      <c r="B83" s="1">
        <v>3.16</v>
      </c>
      <c r="C83" s="1">
        <v>42824</v>
      </c>
      <c r="E83" s="16"/>
      <c r="F83" s="16"/>
      <c r="G83" s="16"/>
      <c r="H83" s="16"/>
      <c r="I83" s="16"/>
      <c r="J83" s="16"/>
      <c r="K83" s="16"/>
    </row>
    <row r="84" spans="1:11" ht="15" hidden="1" customHeight="1" x14ac:dyDescent="0.25">
      <c r="A84" s="1" t="s">
        <v>1</v>
      </c>
      <c r="B84" s="1">
        <v>8.25</v>
      </c>
      <c r="C84" s="1">
        <v>21208</v>
      </c>
      <c r="E84" s="16"/>
      <c r="F84" s="16"/>
      <c r="G84" s="16"/>
      <c r="H84" s="16"/>
      <c r="I84" s="16"/>
      <c r="J84" s="16"/>
      <c r="K84" s="16"/>
    </row>
    <row r="85" spans="1:11" ht="15" hidden="1" customHeight="1" x14ac:dyDescent="0.25">
      <c r="A85" s="1" t="s">
        <v>3</v>
      </c>
      <c r="B85" s="1">
        <v>5.41</v>
      </c>
      <c r="C85" s="1">
        <v>44321</v>
      </c>
      <c r="E85" s="16"/>
      <c r="F85" s="16"/>
      <c r="G85" s="16"/>
      <c r="H85" s="16"/>
      <c r="I85" s="16"/>
      <c r="J85" s="16"/>
      <c r="K85" s="16"/>
    </row>
    <row r="86" spans="1:11" x14ac:dyDescent="0.25">
      <c r="A86" s="1" t="s">
        <v>5</v>
      </c>
      <c r="B86" s="1">
        <v>5.85</v>
      </c>
      <c r="C86" s="1">
        <v>13116</v>
      </c>
      <c r="E86" s="14"/>
      <c r="F86" s="14"/>
      <c r="G86" s="14"/>
      <c r="H86" s="14"/>
      <c r="I86" s="14"/>
      <c r="J86" s="14"/>
      <c r="K86" s="14"/>
    </row>
    <row r="87" spans="1:11" ht="15" hidden="1" customHeight="1" x14ac:dyDescent="0.25">
      <c r="A87" s="1" t="s">
        <v>7</v>
      </c>
      <c r="B87" s="1">
        <v>4.46</v>
      </c>
      <c r="C87" s="1">
        <v>30214</v>
      </c>
      <c r="E87" s="16"/>
      <c r="F87" s="16"/>
      <c r="G87" s="16"/>
      <c r="H87" s="16"/>
      <c r="I87" s="16"/>
      <c r="J87" s="16"/>
      <c r="K87" s="16"/>
    </row>
    <row r="88" spans="1:11" ht="15" hidden="1" customHeight="1" x14ac:dyDescent="0.25">
      <c r="A88" s="1" t="s">
        <v>1</v>
      </c>
      <c r="B88" s="1">
        <v>5.22</v>
      </c>
      <c r="C88" s="1">
        <v>15827</v>
      </c>
      <c r="E88" s="16"/>
      <c r="F88" s="16"/>
      <c r="G88" s="16"/>
      <c r="H88" s="16"/>
      <c r="I88" s="16"/>
      <c r="J88" s="16"/>
      <c r="K88" s="16"/>
    </row>
    <row r="89" spans="1:11" ht="15" hidden="1" customHeight="1" x14ac:dyDescent="0.25">
      <c r="A89" s="1" t="s">
        <v>3</v>
      </c>
      <c r="B89" s="1">
        <v>1.99</v>
      </c>
      <c r="C89" s="1">
        <v>46643</v>
      </c>
      <c r="E89" s="16"/>
      <c r="F89" s="16"/>
      <c r="G89" s="16"/>
      <c r="H89" s="16"/>
      <c r="I89" s="16"/>
      <c r="J89" s="16"/>
      <c r="K89" s="16"/>
    </row>
    <row r="90" spans="1:11" x14ac:dyDescent="0.25">
      <c r="A90" s="1" t="s">
        <v>5</v>
      </c>
      <c r="B90" s="1">
        <v>6.85</v>
      </c>
      <c r="C90" s="1">
        <v>36484</v>
      </c>
      <c r="E90" s="14"/>
      <c r="F90" s="14"/>
      <c r="G90" s="14"/>
      <c r="H90" s="14"/>
      <c r="I90" s="14"/>
      <c r="J90" s="14"/>
      <c r="K90" s="14"/>
    </row>
    <row r="91" spans="1:11" ht="15" hidden="1" customHeight="1" x14ac:dyDescent="0.25">
      <c r="A91" s="1" t="s">
        <v>7</v>
      </c>
      <c r="B91" s="1">
        <v>3.32</v>
      </c>
      <c r="C91" s="1">
        <v>4996</v>
      </c>
      <c r="E91" s="16"/>
      <c r="F91" s="16"/>
      <c r="G91" s="16"/>
      <c r="H91" s="16"/>
      <c r="I91" s="16"/>
      <c r="J91" s="16"/>
      <c r="K91" s="16"/>
    </row>
    <row r="92" spans="1:11" ht="15" hidden="1" customHeight="1" x14ac:dyDescent="0.25">
      <c r="A92" s="1" t="s">
        <v>1</v>
      </c>
      <c r="B92" s="1">
        <v>5.68</v>
      </c>
      <c r="C92" s="1">
        <v>36095</v>
      </c>
      <c r="E92" s="16"/>
      <c r="F92" s="16"/>
      <c r="G92" s="16"/>
      <c r="H92" s="16"/>
      <c r="I92" s="16"/>
      <c r="J92" s="16"/>
      <c r="K92" s="16"/>
    </row>
    <row r="93" spans="1:11" ht="15" hidden="1" customHeight="1" x14ac:dyDescent="0.25">
      <c r="A93" s="1" t="s">
        <v>3</v>
      </c>
      <c r="B93" s="1">
        <v>6.08</v>
      </c>
      <c r="C93" s="1">
        <v>16443</v>
      </c>
      <c r="E93" s="16"/>
      <c r="F93" s="16"/>
      <c r="G93" s="16"/>
      <c r="H93" s="16"/>
      <c r="I93" s="16"/>
      <c r="J93" s="16"/>
      <c r="K93" s="16"/>
    </row>
    <row r="94" spans="1:11" x14ac:dyDescent="0.25">
      <c r="A94" s="1" t="s">
        <v>5</v>
      </c>
      <c r="B94" s="1">
        <v>4.66</v>
      </c>
      <c r="C94" s="1">
        <v>47812</v>
      </c>
      <c r="E94" s="14"/>
      <c r="F94" s="14"/>
      <c r="G94" s="14"/>
      <c r="H94" s="14"/>
      <c r="I94" s="14"/>
      <c r="J94" s="14"/>
      <c r="K94" s="14"/>
    </row>
    <row r="95" spans="1:11" ht="15" hidden="1" customHeight="1" x14ac:dyDescent="0.25">
      <c r="A95" s="1" t="s">
        <v>7</v>
      </c>
      <c r="B95" s="1">
        <v>8.6999999999999993</v>
      </c>
      <c r="C95" s="1">
        <v>38452</v>
      </c>
      <c r="E95" s="16"/>
      <c r="F95" s="16"/>
      <c r="G95" s="16"/>
      <c r="H95" s="16"/>
      <c r="I95" s="16"/>
      <c r="J95" s="16"/>
      <c r="K95" s="16"/>
    </row>
    <row r="96" spans="1:11" ht="15" hidden="1" customHeight="1" x14ac:dyDescent="0.25">
      <c r="A96" s="1" t="s">
        <v>1</v>
      </c>
      <c r="B96" s="1">
        <v>2.46</v>
      </c>
      <c r="C96" s="1">
        <v>30428</v>
      </c>
      <c r="E96" s="16"/>
      <c r="F96" s="16"/>
      <c r="G96" s="16"/>
      <c r="H96" s="16"/>
      <c r="I96" s="16"/>
      <c r="J96" s="16"/>
      <c r="K96" s="16"/>
    </row>
    <row r="97" spans="1:11" ht="15" hidden="1" customHeight="1" x14ac:dyDescent="0.25">
      <c r="A97" s="1" t="s">
        <v>3</v>
      </c>
      <c r="B97" s="1">
        <v>7.97</v>
      </c>
      <c r="C97" s="1">
        <v>9269</v>
      </c>
      <c r="E97" s="16"/>
      <c r="F97" s="16"/>
      <c r="G97" s="16"/>
      <c r="H97" s="16"/>
      <c r="I97" s="16"/>
      <c r="J97" s="16"/>
      <c r="K97" s="16"/>
    </row>
    <row r="98" spans="1:11" x14ac:dyDescent="0.25">
      <c r="A98" s="1" t="s">
        <v>5</v>
      </c>
      <c r="B98" s="1">
        <v>9.41</v>
      </c>
      <c r="C98" s="1">
        <v>29533</v>
      </c>
      <c r="E98" s="14"/>
      <c r="F98" s="14"/>
      <c r="G98" s="14"/>
      <c r="H98" s="14"/>
      <c r="I98" s="14"/>
      <c r="J98" s="14"/>
      <c r="K98" s="14"/>
    </row>
    <row r="99" spans="1:11" ht="15" hidden="1" customHeight="1" x14ac:dyDescent="0.25">
      <c r="A99" s="1" t="s">
        <v>7</v>
      </c>
      <c r="B99" s="1">
        <v>2.68</v>
      </c>
      <c r="C99" s="1">
        <v>39997</v>
      </c>
      <c r="E99" s="16"/>
      <c r="F99" s="16"/>
      <c r="G99" s="16"/>
      <c r="H99" s="16"/>
      <c r="I99" s="16"/>
      <c r="J99" s="16"/>
      <c r="K99" s="16"/>
    </row>
    <row r="100" spans="1:11" ht="15" hidden="1" customHeight="1" x14ac:dyDescent="0.25">
      <c r="A100" s="1" t="s">
        <v>1</v>
      </c>
      <c r="B100" s="1">
        <v>7.32</v>
      </c>
      <c r="C100" s="1">
        <v>5391</v>
      </c>
      <c r="E100" s="16"/>
      <c r="F100" s="16"/>
      <c r="G100" s="16"/>
      <c r="H100" s="16"/>
      <c r="I100" s="16"/>
      <c r="J100" s="16"/>
      <c r="K100" s="16"/>
    </row>
    <row r="101" spans="1:11" ht="15" hidden="1" customHeight="1" x14ac:dyDescent="0.25">
      <c r="A101" s="1" t="s">
        <v>3</v>
      </c>
      <c r="B101" s="1">
        <v>4.68</v>
      </c>
      <c r="C101" s="1">
        <v>22373</v>
      </c>
      <c r="E101" s="16"/>
      <c r="F101" s="16"/>
      <c r="G101" s="16"/>
      <c r="H101" s="16"/>
      <c r="I101" s="16"/>
      <c r="J101" s="16"/>
      <c r="K101" s="16"/>
    </row>
    <row r="102" spans="1:11" x14ac:dyDescent="0.25">
      <c r="A102" s="1" t="s">
        <v>5</v>
      </c>
      <c r="B102" s="1">
        <v>5.17</v>
      </c>
      <c r="C102" s="1">
        <v>1810</v>
      </c>
      <c r="E102" s="14"/>
      <c r="F102" s="14"/>
      <c r="G102" s="14"/>
      <c r="H102" s="14"/>
      <c r="I102" s="14"/>
      <c r="J102" s="14"/>
      <c r="K102" s="14"/>
    </row>
    <row r="103" spans="1:11" ht="15" hidden="1" customHeight="1" x14ac:dyDescent="0.25">
      <c r="A103" s="1" t="s">
        <v>7</v>
      </c>
      <c r="B103" s="1">
        <v>6.2</v>
      </c>
      <c r="C103" s="1">
        <v>28498</v>
      </c>
      <c r="E103" s="16"/>
      <c r="F103" s="16"/>
      <c r="G103" s="16"/>
      <c r="H103" s="16"/>
      <c r="I103" s="16"/>
      <c r="J103" s="16"/>
      <c r="K103" s="16"/>
    </row>
    <row r="104" spans="1:11" ht="15" hidden="1" customHeight="1" x14ac:dyDescent="0.25">
      <c r="A104" s="1" t="s">
        <v>1</v>
      </c>
      <c r="B104" s="1">
        <v>2.69</v>
      </c>
      <c r="C104" s="1">
        <v>39530</v>
      </c>
      <c r="E104" s="16"/>
      <c r="F104" s="16"/>
      <c r="G104" s="16"/>
      <c r="H104" s="16"/>
      <c r="I104" s="16"/>
      <c r="J104" s="16"/>
      <c r="K104" s="16"/>
    </row>
    <row r="105" spans="1:11" ht="15" hidden="1" customHeight="1" x14ac:dyDescent="0.25">
      <c r="A105" s="1" t="s">
        <v>3</v>
      </c>
      <c r="B105" s="1">
        <v>8.9</v>
      </c>
      <c r="C105" s="1">
        <v>37876</v>
      </c>
      <c r="E105" s="16"/>
      <c r="F105" s="16"/>
      <c r="G105" s="16"/>
      <c r="H105" s="16"/>
      <c r="I105" s="16"/>
      <c r="J105" s="16"/>
      <c r="K105" s="16"/>
    </row>
    <row r="106" spans="1:11" x14ac:dyDescent="0.25">
      <c r="A106" s="1" t="s">
        <v>5</v>
      </c>
      <c r="B106" s="1">
        <v>3.79</v>
      </c>
      <c r="C106" s="1">
        <v>36103</v>
      </c>
      <c r="E106" s="14"/>
      <c r="F106" s="14"/>
      <c r="G106" s="14"/>
      <c r="H106" s="14"/>
      <c r="I106" s="14"/>
      <c r="J106" s="14"/>
      <c r="K106" s="14"/>
    </row>
    <row r="107" spans="1:11" ht="15" hidden="1" customHeight="1" x14ac:dyDescent="0.25">
      <c r="A107" s="1" t="s">
        <v>7</v>
      </c>
      <c r="B107" s="1">
        <v>4.79</v>
      </c>
      <c r="C107" s="1">
        <v>26103</v>
      </c>
      <c r="E107" s="16"/>
      <c r="F107" s="16"/>
      <c r="G107" s="16"/>
      <c r="H107" s="16"/>
      <c r="I107" s="16"/>
      <c r="J107" s="16"/>
      <c r="K107" s="16"/>
    </row>
    <row r="108" spans="1:11" ht="15" hidden="1" customHeight="1" x14ac:dyDescent="0.25">
      <c r="A108" s="1" t="s">
        <v>1</v>
      </c>
      <c r="B108" s="1">
        <v>6.37</v>
      </c>
      <c r="C108" s="1">
        <v>3455</v>
      </c>
      <c r="E108" s="16"/>
      <c r="F108" s="16"/>
      <c r="G108" s="16"/>
      <c r="H108" s="16"/>
      <c r="I108" s="16"/>
      <c r="J108" s="16"/>
      <c r="K108" s="16"/>
    </row>
    <row r="109" spans="1:11" ht="15" hidden="1" customHeight="1" x14ac:dyDescent="0.25">
      <c r="A109" s="1" t="s">
        <v>3</v>
      </c>
      <c r="B109" s="1">
        <v>2.65</v>
      </c>
      <c r="C109" s="1">
        <v>40888</v>
      </c>
      <c r="E109" s="16"/>
      <c r="F109" s="16"/>
      <c r="G109" s="16"/>
      <c r="H109" s="16"/>
      <c r="I109" s="16"/>
      <c r="J109" s="16"/>
      <c r="K109" s="16"/>
    </row>
    <row r="110" spans="1:11" x14ac:dyDescent="0.25">
      <c r="A110" s="1" t="s">
        <v>5</v>
      </c>
      <c r="B110" s="1">
        <v>1.81</v>
      </c>
      <c r="C110" s="1">
        <v>22724</v>
      </c>
      <c r="E110" s="14"/>
      <c r="F110" s="14"/>
      <c r="G110" s="14"/>
      <c r="H110" s="14"/>
      <c r="I110" s="14"/>
      <c r="J110" s="14"/>
      <c r="K110" s="14"/>
    </row>
    <row r="111" spans="1:11" ht="15" hidden="1" customHeight="1" x14ac:dyDescent="0.25">
      <c r="A111" s="1" t="s">
        <v>7</v>
      </c>
      <c r="B111" s="1">
        <v>7.47</v>
      </c>
      <c r="C111" s="1">
        <v>18601</v>
      </c>
      <c r="E111" s="16"/>
      <c r="F111" s="16"/>
      <c r="G111" s="16"/>
      <c r="H111" s="16"/>
      <c r="I111" s="16"/>
      <c r="J111" s="16"/>
      <c r="K111" s="16"/>
    </row>
    <row r="112" spans="1:11" ht="15" hidden="1" customHeight="1" x14ac:dyDescent="0.25">
      <c r="A112" s="1" t="s">
        <v>1</v>
      </c>
      <c r="B112" s="1">
        <v>4.2</v>
      </c>
      <c r="C112" s="1">
        <v>20861</v>
      </c>
      <c r="E112" s="16"/>
      <c r="F112" s="16"/>
      <c r="G112" s="16"/>
      <c r="H112" s="16"/>
      <c r="I112" s="16"/>
      <c r="J112" s="16"/>
      <c r="K112" s="16"/>
    </row>
    <row r="113" spans="1:11" ht="15" hidden="1" customHeight="1" x14ac:dyDescent="0.25">
      <c r="A113" s="1" t="s">
        <v>3</v>
      </c>
      <c r="B113" s="1">
        <v>5.43</v>
      </c>
      <c r="C113" s="1">
        <v>46625</v>
      </c>
      <c r="E113" s="16"/>
      <c r="F113" s="16"/>
      <c r="G113" s="16"/>
      <c r="H113" s="16"/>
      <c r="I113" s="16"/>
      <c r="J113" s="16"/>
      <c r="K113" s="16"/>
    </row>
    <row r="114" spans="1:11" x14ac:dyDescent="0.25">
      <c r="A114" s="1" t="s">
        <v>5</v>
      </c>
      <c r="B114" s="1">
        <v>3.32</v>
      </c>
      <c r="C114" s="1">
        <v>20692</v>
      </c>
      <c r="E114" s="14"/>
      <c r="F114" s="14"/>
      <c r="G114" s="14"/>
      <c r="H114" s="14"/>
      <c r="I114" s="14"/>
      <c r="J114" s="14"/>
      <c r="K114" s="14"/>
    </row>
    <row r="115" spans="1:11" ht="15" hidden="1" customHeight="1" x14ac:dyDescent="0.25">
      <c r="A115" s="1" t="s">
        <v>7</v>
      </c>
      <c r="B115" s="1">
        <v>8.11</v>
      </c>
      <c r="C115" s="1">
        <v>18656</v>
      </c>
      <c r="E115" s="16"/>
      <c r="F115" s="16"/>
      <c r="G115" s="16"/>
      <c r="H115" s="16"/>
      <c r="I115" s="16"/>
      <c r="J115" s="16"/>
      <c r="K115" s="16"/>
    </row>
    <row r="116" spans="1:11" ht="15" hidden="1" customHeight="1" x14ac:dyDescent="0.25">
      <c r="A116" s="1" t="s">
        <v>1</v>
      </c>
      <c r="B116" s="1">
        <v>6.66</v>
      </c>
      <c r="C116" s="1">
        <v>13316</v>
      </c>
      <c r="E116" s="16"/>
      <c r="F116" s="16"/>
      <c r="G116" s="16"/>
      <c r="H116" s="16"/>
      <c r="I116" s="16"/>
      <c r="J116" s="16"/>
      <c r="K116" s="16"/>
    </row>
    <row r="117" spans="1:11" ht="15" hidden="1" customHeight="1" x14ac:dyDescent="0.25">
      <c r="A117" s="1" t="s">
        <v>3</v>
      </c>
      <c r="B117" s="1">
        <v>8.09</v>
      </c>
      <c r="C117" s="1">
        <v>49558</v>
      </c>
      <c r="E117" s="16"/>
      <c r="F117" s="16"/>
      <c r="G117" s="16"/>
      <c r="H117" s="16"/>
      <c r="I117" s="16"/>
      <c r="J117" s="16"/>
      <c r="K117" s="16"/>
    </row>
    <row r="118" spans="1:11" x14ac:dyDescent="0.25">
      <c r="A118" s="1" t="s">
        <v>5</v>
      </c>
      <c r="B118" s="1">
        <v>8.44</v>
      </c>
      <c r="C118" s="1">
        <v>4683</v>
      </c>
    </row>
    <row r="119" spans="1:11" ht="15" hidden="1" customHeight="1" x14ac:dyDescent="0.25">
      <c r="A119" s="1" t="s">
        <v>7</v>
      </c>
      <c r="B119" s="1">
        <v>2.02</v>
      </c>
      <c r="C119" s="1">
        <v>47502</v>
      </c>
    </row>
    <row r="120" spans="1:11" ht="15" hidden="1" customHeight="1" x14ac:dyDescent="0.25">
      <c r="A120" s="1" t="s">
        <v>1</v>
      </c>
      <c r="B120" s="1">
        <v>7.74</v>
      </c>
      <c r="C120" s="1">
        <v>35359</v>
      </c>
    </row>
    <row r="121" spans="1:11" ht="15" hidden="1" customHeight="1" x14ac:dyDescent="0.25">
      <c r="A121" s="1" t="s">
        <v>3</v>
      </c>
      <c r="B121" s="1">
        <v>2.89</v>
      </c>
      <c r="C121" s="1">
        <v>14154</v>
      </c>
    </row>
    <row r="122" spans="1:11" x14ac:dyDescent="0.25">
      <c r="A122" s="1" t="s">
        <v>5</v>
      </c>
      <c r="B122" s="1">
        <v>1.76</v>
      </c>
      <c r="C122" s="1">
        <v>4313</v>
      </c>
    </row>
    <row r="123" spans="1:11" ht="15" hidden="1" customHeight="1" x14ac:dyDescent="0.25">
      <c r="A123" s="1" t="s">
        <v>7</v>
      </c>
      <c r="B123" s="1">
        <v>3.09</v>
      </c>
      <c r="C123" s="1">
        <v>25140</v>
      </c>
    </row>
    <row r="124" spans="1:11" ht="15" hidden="1" customHeight="1" x14ac:dyDescent="0.25">
      <c r="A124" s="1" t="s">
        <v>1</v>
      </c>
      <c r="B124" s="1">
        <v>4.68</v>
      </c>
      <c r="C124" s="1">
        <v>9118</v>
      </c>
    </row>
    <row r="125" spans="1:11" ht="15" hidden="1" customHeight="1" x14ac:dyDescent="0.25">
      <c r="A125" s="1" t="s">
        <v>3</v>
      </c>
      <c r="B125" s="1">
        <v>4.4800000000000004</v>
      </c>
      <c r="C125" s="1">
        <v>39931</v>
      </c>
    </row>
    <row r="126" spans="1:11" x14ac:dyDescent="0.25">
      <c r="A126" s="1" t="s">
        <v>5</v>
      </c>
      <c r="B126" s="1">
        <v>5.3</v>
      </c>
      <c r="C126" s="1">
        <v>37132</v>
      </c>
    </row>
    <row r="127" spans="1:11" hidden="1" x14ac:dyDescent="0.25">
      <c r="A127" s="1" t="s">
        <v>7</v>
      </c>
      <c r="B127" s="1">
        <v>8.1999999999999993</v>
      </c>
      <c r="C127" s="1">
        <v>17951</v>
      </c>
    </row>
    <row r="128" spans="1:11" hidden="1" x14ac:dyDescent="0.25">
      <c r="A128" s="1" t="s">
        <v>1</v>
      </c>
      <c r="B128" s="1">
        <v>2.2200000000000002</v>
      </c>
      <c r="C128" s="1">
        <v>2798</v>
      </c>
    </row>
    <row r="129" spans="1:3" hidden="1" x14ac:dyDescent="0.25">
      <c r="A129" s="1" t="s">
        <v>3</v>
      </c>
      <c r="B129" s="1">
        <v>8.33</v>
      </c>
      <c r="C129" s="1">
        <v>15045</v>
      </c>
    </row>
    <row r="130" spans="1:3" x14ac:dyDescent="0.25">
      <c r="A130" s="1" t="s">
        <v>5</v>
      </c>
      <c r="B130" s="1">
        <v>3.3</v>
      </c>
      <c r="C130" s="1">
        <v>14548</v>
      </c>
    </row>
    <row r="131" spans="1:3" hidden="1" x14ac:dyDescent="0.25">
      <c r="A131" s="1" t="s">
        <v>7</v>
      </c>
      <c r="B131" s="1">
        <v>5.61</v>
      </c>
      <c r="C131" s="1">
        <v>45708</v>
      </c>
    </row>
    <row r="132" spans="1:3" hidden="1" x14ac:dyDescent="0.25">
      <c r="A132" s="1" t="s">
        <v>1</v>
      </c>
      <c r="B132" s="1">
        <v>2.56</v>
      </c>
      <c r="C132" s="1">
        <v>12350</v>
      </c>
    </row>
    <row r="133" spans="1:3" hidden="1" x14ac:dyDescent="0.25">
      <c r="A133" s="1" t="s">
        <v>3</v>
      </c>
      <c r="B133" s="1">
        <v>3.29</v>
      </c>
      <c r="C133" s="1">
        <v>40868</v>
      </c>
    </row>
    <row r="134" spans="1:3" x14ac:dyDescent="0.25">
      <c r="A134" s="1" t="s">
        <v>5</v>
      </c>
      <c r="B134" s="1">
        <v>9.24</v>
      </c>
      <c r="C134" s="1">
        <v>43122</v>
      </c>
    </row>
    <row r="135" spans="1:3" hidden="1" x14ac:dyDescent="0.25">
      <c r="A135" s="1" t="s">
        <v>7</v>
      </c>
      <c r="B135" s="1">
        <v>4.51</v>
      </c>
      <c r="C135" s="1">
        <v>23853</v>
      </c>
    </row>
    <row r="136" spans="1:3" hidden="1" x14ac:dyDescent="0.25">
      <c r="A136" s="1" t="s">
        <v>1</v>
      </c>
      <c r="B136" s="1">
        <v>5.23</v>
      </c>
      <c r="C136" s="1">
        <v>45380</v>
      </c>
    </row>
    <row r="137" spans="1:3" hidden="1" x14ac:dyDescent="0.25">
      <c r="A137" s="1" t="s">
        <v>3</v>
      </c>
      <c r="B137" s="1">
        <v>4.68</v>
      </c>
      <c r="C137" s="1">
        <v>7705</v>
      </c>
    </row>
    <row r="138" spans="1:3" x14ac:dyDescent="0.25">
      <c r="A138" s="1" t="s">
        <v>5</v>
      </c>
      <c r="B138" s="1">
        <v>9.23</v>
      </c>
      <c r="C138" s="1">
        <v>25525</v>
      </c>
    </row>
    <row r="139" spans="1:3" hidden="1" x14ac:dyDescent="0.25">
      <c r="A139" s="1" t="s">
        <v>7</v>
      </c>
      <c r="B139" s="1">
        <v>6.37</v>
      </c>
      <c r="C139" s="1">
        <v>20560</v>
      </c>
    </row>
    <row r="140" spans="1:3" hidden="1" x14ac:dyDescent="0.25">
      <c r="A140" s="1" t="s">
        <v>1</v>
      </c>
      <c r="B140" s="1">
        <v>2.0099999999999998</v>
      </c>
      <c r="C140" s="1">
        <v>19119</v>
      </c>
    </row>
    <row r="141" spans="1:3" hidden="1" x14ac:dyDescent="0.25">
      <c r="A141" s="1" t="s">
        <v>3</v>
      </c>
      <c r="B141" s="1">
        <v>3.72</v>
      </c>
      <c r="C141" s="1">
        <v>43999</v>
      </c>
    </row>
    <row r="142" spans="1:3" x14ac:dyDescent="0.25">
      <c r="A142" s="1" t="s">
        <v>5</v>
      </c>
      <c r="B142" s="1">
        <v>3.89</v>
      </c>
      <c r="C142" s="1">
        <v>10825</v>
      </c>
    </row>
    <row r="143" spans="1:3" hidden="1" x14ac:dyDescent="0.25">
      <c r="A143" s="1" t="s">
        <v>7</v>
      </c>
      <c r="B143" s="1">
        <v>8.6999999999999993</v>
      </c>
      <c r="C143" s="1">
        <v>40323</v>
      </c>
    </row>
    <row r="144" spans="1:3" hidden="1" x14ac:dyDescent="0.25">
      <c r="A144" s="1" t="s">
        <v>1</v>
      </c>
      <c r="B144" s="1">
        <v>6.95</v>
      </c>
      <c r="C144" s="1">
        <v>48270</v>
      </c>
    </row>
    <row r="145" spans="1:3" hidden="1" x14ac:dyDescent="0.25">
      <c r="A145" s="1" t="s">
        <v>3</v>
      </c>
      <c r="B145" s="1">
        <v>9.48</v>
      </c>
      <c r="C145" s="1">
        <v>18001</v>
      </c>
    </row>
    <row r="146" spans="1:3" x14ac:dyDescent="0.25">
      <c r="A146" s="1" t="s">
        <v>5</v>
      </c>
      <c r="B146" s="1">
        <v>4.6100000000000003</v>
      </c>
      <c r="C146" s="1">
        <v>3314</v>
      </c>
    </row>
    <row r="147" spans="1:3" hidden="1" x14ac:dyDescent="0.25">
      <c r="A147" s="1" t="s">
        <v>7</v>
      </c>
      <c r="B147" s="1">
        <v>8.0299999999999994</v>
      </c>
      <c r="C147" s="1">
        <v>23489</v>
      </c>
    </row>
    <row r="148" spans="1:3" hidden="1" x14ac:dyDescent="0.25">
      <c r="A148" s="1" t="s">
        <v>1</v>
      </c>
      <c r="B148" s="1">
        <v>6.99</v>
      </c>
      <c r="C148" s="1">
        <v>42832</v>
      </c>
    </row>
    <row r="149" spans="1:3" hidden="1" x14ac:dyDescent="0.25">
      <c r="A149" s="1" t="s">
        <v>3</v>
      </c>
      <c r="B149" s="1">
        <v>9.0299999999999994</v>
      </c>
      <c r="C149" s="1">
        <v>24494</v>
      </c>
    </row>
    <row r="150" spans="1:3" x14ac:dyDescent="0.25">
      <c r="A150" s="1" t="s">
        <v>5</v>
      </c>
      <c r="B150" s="1">
        <v>2.86</v>
      </c>
      <c r="C150" s="1">
        <v>44097</v>
      </c>
    </row>
    <row r="151" spans="1:3" hidden="1" x14ac:dyDescent="0.25">
      <c r="A151" s="1" t="s">
        <v>7</v>
      </c>
      <c r="B151" s="1">
        <v>3.85</v>
      </c>
      <c r="C151" s="1">
        <v>31853</v>
      </c>
    </row>
    <row r="152" spans="1:3" hidden="1" x14ac:dyDescent="0.25">
      <c r="A152" s="1" t="s">
        <v>1</v>
      </c>
      <c r="B152" s="1">
        <v>7.3</v>
      </c>
      <c r="C152" s="1">
        <v>37636</v>
      </c>
    </row>
    <row r="153" spans="1:3" hidden="1" x14ac:dyDescent="0.25">
      <c r="A153" s="1" t="s">
        <v>3</v>
      </c>
      <c r="B153" s="1">
        <v>9.08</v>
      </c>
      <c r="C153" s="1">
        <v>22996</v>
      </c>
    </row>
    <row r="154" spans="1:3" x14ac:dyDescent="0.25">
      <c r="A154" s="1" t="s">
        <v>5</v>
      </c>
      <c r="B154" s="1">
        <v>4.34</v>
      </c>
      <c r="C154" s="1">
        <v>49772</v>
      </c>
    </row>
    <row r="155" spans="1:3" hidden="1" x14ac:dyDescent="0.25">
      <c r="A155" s="1" t="s">
        <v>7</v>
      </c>
      <c r="B155" s="1">
        <v>7.8</v>
      </c>
      <c r="C155" s="1">
        <v>22713</v>
      </c>
    </row>
    <row r="156" spans="1:3" hidden="1" x14ac:dyDescent="0.25">
      <c r="A156" s="1" t="s">
        <v>1</v>
      </c>
      <c r="B156" s="1">
        <v>3.85</v>
      </c>
      <c r="C156" s="1">
        <v>8718</v>
      </c>
    </row>
    <row r="157" spans="1:3" hidden="1" x14ac:dyDescent="0.25">
      <c r="A157" s="1" t="s">
        <v>3</v>
      </c>
      <c r="B157" s="1">
        <v>6.58</v>
      </c>
      <c r="C157" s="1">
        <v>39031</v>
      </c>
    </row>
    <row r="158" spans="1:3" x14ac:dyDescent="0.25">
      <c r="A158" s="1" t="s">
        <v>5</v>
      </c>
      <c r="B158" s="1">
        <v>8.6199999999999992</v>
      </c>
      <c r="C158" s="1">
        <v>33799</v>
      </c>
    </row>
    <row r="159" spans="1:3" hidden="1" x14ac:dyDescent="0.25">
      <c r="A159" s="1" t="s">
        <v>7</v>
      </c>
      <c r="B159" s="1">
        <v>4.55</v>
      </c>
      <c r="C159" s="1">
        <v>20553</v>
      </c>
    </row>
    <row r="160" spans="1:3" hidden="1" x14ac:dyDescent="0.25">
      <c r="A160" s="1" t="s">
        <v>1</v>
      </c>
      <c r="B160" s="1">
        <v>8.33</v>
      </c>
      <c r="C160" s="1">
        <v>10002</v>
      </c>
    </row>
    <row r="161" spans="1:3" hidden="1" x14ac:dyDescent="0.25">
      <c r="A161" s="1" t="s">
        <v>3</v>
      </c>
      <c r="B161" s="1">
        <v>9.4</v>
      </c>
      <c r="C161" s="1">
        <v>30987</v>
      </c>
    </row>
    <row r="162" spans="1:3" x14ac:dyDescent="0.25">
      <c r="A162" s="1" t="s">
        <v>5</v>
      </c>
      <c r="B162" s="1">
        <v>7.23</v>
      </c>
      <c r="C162" s="1">
        <v>6296</v>
      </c>
    </row>
    <row r="163" spans="1:3" hidden="1" x14ac:dyDescent="0.25">
      <c r="A163" s="1" t="s">
        <v>7</v>
      </c>
      <c r="B163" s="1">
        <v>9.39</v>
      </c>
      <c r="C163" s="1">
        <v>21539</v>
      </c>
    </row>
    <row r="164" spans="1:3" hidden="1" x14ac:dyDescent="0.25">
      <c r="A164" s="1" t="s">
        <v>1</v>
      </c>
      <c r="B164" s="1">
        <v>5.12</v>
      </c>
      <c r="C164" s="1">
        <v>14722</v>
      </c>
    </row>
    <row r="165" spans="1:3" hidden="1" x14ac:dyDescent="0.25">
      <c r="A165" s="1" t="s">
        <v>3</v>
      </c>
      <c r="B165" s="1">
        <v>6.11</v>
      </c>
      <c r="C165" s="1">
        <v>11383</v>
      </c>
    </row>
    <row r="166" spans="1:3" x14ac:dyDescent="0.25">
      <c r="A166" s="1" t="s">
        <v>5</v>
      </c>
      <c r="B166" s="1">
        <v>7.74</v>
      </c>
      <c r="C166" s="1">
        <v>9480</v>
      </c>
    </row>
    <row r="167" spans="1:3" hidden="1" x14ac:dyDescent="0.25">
      <c r="A167" s="1" t="s">
        <v>7</v>
      </c>
      <c r="B167" s="1">
        <v>4.9400000000000004</v>
      </c>
      <c r="C167" s="1">
        <v>29116</v>
      </c>
    </row>
    <row r="168" spans="1:3" hidden="1" x14ac:dyDescent="0.25">
      <c r="A168" s="1" t="s">
        <v>1</v>
      </c>
      <c r="B168" s="1">
        <v>1.8</v>
      </c>
      <c r="C168" s="1">
        <v>14068</v>
      </c>
    </row>
    <row r="169" spans="1:3" hidden="1" x14ac:dyDescent="0.25">
      <c r="A169" s="1" t="s">
        <v>3</v>
      </c>
      <c r="B169" s="1">
        <v>8.64</v>
      </c>
      <c r="C169" s="1">
        <v>35801</v>
      </c>
    </row>
    <row r="170" spans="1:3" x14ac:dyDescent="0.25">
      <c r="A170" s="1" t="s">
        <v>5</v>
      </c>
      <c r="B170" s="1">
        <v>1.53</v>
      </c>
      <c r="C170" s="1">
        <v>49077</v>
      </c>
    </row>
    <row r="171" spans="1:3" hidden="1" x14ac:dyDescent="0.25">
      <c r="A171" s="1" t="s">
        <v>7</v>
      </c>
      <c r="B171" s="1">
        <v>8.52</v>
      </c>
      <c r="C171" s="1">
        <v>21453</v>
      </c>
    </row>
    <row r="172" spans="1:3" hidden="1" x14ac:dyDescent="0.25">
      <c r="A172" s="1" t="s">
        <v>1</v>
      </c>
      <c r="B172" s="1">
        <v>5.53</v>
      </c>
      <c r="C172" s="1">
        <v>21061</v>
      </c>
    </row>
    <row r="173" spans="1:3" hidden="1" x14ac:dyDescent="0.25">
      <c r="A173" s="1" t="s">
        <v>3</v>
      </c>
      <c r="B173" s="1">
        <v>1.87</v>
      </c>
      <c r="C173" s="1">
        <v>20059</v>
      </c>
    </row>
    <row r="174" spans="1:3" x14ac:dyDescent="0.25">
      <c r="A174" s="1" t="s">
        <v>5</v>
      </c>
      <c r="B174" s="1">
        <v>6.27</v>
      </c>
      <c r="C174" s="1">
        <v>23140</v>
      </c>
    </row>
    <row r="175" spans="1:3" hidden="1" x14ac:dyDescent="0.25">
      <c r="A175" s="1" t="s">
        <v>7</v>
      </c>
      <c r="B175" s="1">
        <v>9.4600000000000009</v>
      </c>
      <c r="C175" s="1">
        <v>23461</v>
      </c>
    </row>
    <row r="176" spans="1:3" hidden="1" x14ac:dyDescent="0.25">
      <c r="A176" s="1" t="s">
        <v>1</v>
      </c>
      <c r="B176" s="1">
        <v>7.5</v>
      </c>
      <c r="C176" s="1">
        <v>11805</v>
      </c>
    </row>
    <row r="177" spans="1:3" hidden="1" x14ac:dyDescent="0.25">
      <c r="A177" s="1" t="s">
        <v>3</v>
      </c>
      <c r="B177" s="1">
        <v>4.7300000000000004</v>
      </c>
      <c r="C177" s="1">
        <v>15969</v>
      </c>
    </row>
    <row r="178" spans="1:3" x14ac:dyDescent="0.25">
      <c r="A178" s="1" t="s">
        <v>5</v>
      </c>
      <c r="B178" s="1">
        <v>3.19</v>
      </c>
      <c r="C178" s="1">
        <v>2436</v>
      </c>
    </row>
    <row r="179" spans="1:3" hidden="1" x14ac:dyDescent="0.25">
      <c r="A179" s="1" t="s">
        <v>7</v>
      </c>
      <c r="B179" s="1">
        <v>2.4900000000000002</v>
      </c>
      <c r="C179" s="1">
        <v>47603</v>
      </c>
    </row>
    <row r="180" spans="1:3" hidden="1" x14ac:dyDescent="0.25">
      <c r="A180" s="1" t="s">
        <v>1</v>
      </c>
      <c r="B180" s="1">
        <v>4.5</v>
      </c>
      <c r="C180" s="1">
        <v>42964</v>
      </c>
    </row>
    <row r="181" spans="1:3" hidden="1" x14ac:dyDescent="0.25">
      <c r="A181" s="1" t="s">
        <v>3</v>
      </c>
      <c r="B181" s="1">
        <v>6.49</v>
      </c>
      <c r="C181" s="1">
        <v>39923</v>
      </c>
    </row>
    <row r="182" spans="1:3" x14ac:dyDescent="0.25">
      <c r="A182" s="1" t="s">
        <v>5</v>
      </c>
      <c r="B182" s="1">
        <v>6.73</v>
      </c>
      <c r="C182" s="1">
        <v>2293</v>
      </c>
    </row>
    <row r="183" spans="1:3" hidden="1" x14ac:dyDescent="0.25">
      <c r="A183" s="1" t="s">
        <v>7</v>
      </c>
      <c r="B183" s="1">
        <v>4.83</v>
      </c>
      <c r="C183" s="1">
        <v>25920</v>
      </c>
    </row>
    <row r="184" spans="1:3" hidden="1" x14ac:dyDescent="0.25">
      <c r="A184" s="1" t="s">
        <v>1</v>
      </c>
      <c r="B184" s="1">
        <v>5.3</v>
      </c>
      <c r="C184" s="1">
        <v>11035</v>
      </c>
    </row>
    <row r="185" spans="1:3" hidden="1" x14ac:dyDescent="0.25">
      <c r="A185" s="1" t="s">
        <v>3</v>
      </c>
      <c r="B185" s="1">
        <v>6.54</v>
      </c>
      <c r="C185" s="1">
        <v>20733</v>
      </c>
    </row>
    <row r="186" spans="1:3" x14ac:dyDescent="0.25">
      <c r="A186" s="1" t="s">
        <v>5</v>
      </c>
      <c r="B186" s="1">
        <v>6.8</v>
      </c>
      <c r="C186" s="1">
        <v>18693</v>
      </c>
    </row>
    <row r="187" spans="1:3" hidden="1" x14ac:dyDescent="0.25">
      <c r="A187" s="1" t="s">
        <v>7</v>
      </c>
      <c r="B187" s="1">
        <v>2.6</v>
      </c>
      <c r="C187" s="1">
        <v>7875</v>
      </c>
    </row>
    <row r="188" spans="1:3" hidden="1" x14ac:dyDescent="0.25">
      <c r="A188" s="1" t="s">
        <v>1</v>
      </c>
      <c r="B188" s="1">
        <v>2.44</v>
      </c>
      <c r="C188" s="1">
        <v>8471</v>
      </c>
    </row>
    <row r="189" spans="1:3" hidden="1" x14ac:dyDescent="0.25">
      <c r="A189" s="1" t="s">
        <v>3</v>
      </c>
      <c r="B189" s="1">
        <v>3.09</v>
      </c>
      <c r="C189" s="1">
        <v>14090</v>
      </c>
    </row>
    <row r="190" spans="1:3" x14ac:dyDescent="0.25">
      <c r="A190" s="1" t="s">
        <v>5</v>
      </c>
      <c r="B190" s="1">
        <v>5.69</v>
      </c>
      <c r="C190" s="1">
        <v>14216</v>
      </c>
    </row>
    <row r="191" spans="1:3" hidden="1" x14ac:dyDescent="0.25">
      <c r="A191" s="1" t="s">
        <v>7</v>
      </c>
      <c r="B191" s="1">
        <v>3.86</v>
      </c>
      <c r="C191" s="1">
        <v>3582</v>
      </c>
    </row>
    <row r="192" spans="1:3" hidden="1" x14ac:dyDescent="0.25">
      <c r="A192" s="1" t="s">
        <v>1</v>
      </c>
      <c r="B192" s="1">
        <v>3.16</v>
      </c>
      <c r="C192" s="1">
        <v>32500</v>
      </c>
    </row>
    <row r="193" spans="1:3" hidden="1" x14ac:dyDescent="0.25">
      <c r="A193" s="1" t="s">
        <v>3</v>
      </c>
      <c r="B193" s="1">
        <v>1.6</v>
      </c>
      <c r="C193" s="1">
        <v>6832</v>
      </c>
    </row>
    <row r="194" spans="1:3" x14ac:dyDescent="0.25">
      <c r="A194" s="1" t="s">
        <v>5</v>
      </c>
      <c r="B194" s="1">
        <v>6.09</v>
      </c>
      <c r="C194" s="1">
        <v>33381</v>
      </c>
    </row>
    <row r="195" spans="1:3" hidden="1" x14ac:dyDescent="0.25">
      <c r="A195" s="1" t="s">
        <v>7</v>
      </c>
      <c r="B195" s="1">
        <v>5.59</v>
      </c>
      <c r="C195" s="1">
        <v>48419</v>
      </c>
    </row>
    <row r="196" spans="1:3" hidden="1" x14ac:dyDescent="0.25">
      <c r="A196" s="1" t="s">
        <v>1</v>
      </c>
      <c r="B196" s="1">
        <v>3.55</v>
      </c>
      <c r="C196" s="1">
        <v>16149</v>
      </c>
    </row>
    <row r="197" spans="1:3" hidden="1" x14ac:dyDescent="0.25">
      <c r="A197" s="1" t="s">
        <v>3</v>
      </c>
      <c r="B197" s="1">
        <v>5.21</v>
      </c>
      <c r="C197" s="1">
        <v>7541</v>
      </c>
    </row>
    <row r="198" spans="1:3" x14ac:dyDescent="0.25">
      <c r="A198" s="1" t="s">
        <v>5</v>
      </c>
      <c r="B198" s="1">
        <v>1.82</v>
      </c>
      <c r="C198" s="1">
        <v>20042</v>
      </c>
    </row>
    <row r="199" spans="1:3" hidden="1" x14ac:dyDescent="0.25">
      <c r="A199" s="1" t="s">
        <v>7</v>
      </c>
      <c r="B199" s="1">
        <v>4</v>
      </c>
      <c r="C199" s="1">
        <v>49400</v>
      </c>
    </row>
    <row r="200" spans="1:3" hidden="1" x14ac:dyDescent="0.25">
      <c r="A200" s="1" t="s">
        <v>1</v>
      </c>
      <c r="B200" s="1">
        <v>7.57</v>
      </c>
      <c r="C200" s="1">
        <v>4007</v>
      </c>
    </row>
    <row r="201" spans="1:3" hidden="1" x14ac:dyDescent="0.25">
      <c r="A201" s="1" t="s">
        <v>3</v>
      </c>
      <c r="B201" s="1">
        <v>6.81</v>
      </c>
      <c r="C201" s="1">
        <v>12174</v>
      </c>
    </row>
  </sheetData>
  <autoFilter ref="A1:C201" xr:uid="{8DD4B6A4-BE70-47E3-B4CF-B20DC2913D04}">
    <filterColumn colId="0">
      <filters>
        <filter val="Instagram"/>
      </filters>
    </filterColumn>
  </autoFilter>
  <mergeCells count="2">
    <mergeCell ref="O3:R27"/>
    <mergeCell ref="E82:K1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Engagement Summary</vt:lpstr>
      <vt:lpstr>highest engagement platform</vt:lpstr>
      <vt:lpstr>compare growth</vt:lpstr>
      <vt:lpstr>Visualize Engagement vs. Ad Sp.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sourabh-hp</dc:creator>
  <cp:lastModifiedBy>sourabh tiwari</cp:lastModifiedBy>
  <dcterms:created xsi:type="dcterms:W3CDTF">2025-05-26T02:16:03Z</dcterms:created>
  <dcterms:modified xsi:type="dcterms:W3CDTF">2025-08-06T05:13:05Z</dcterms:modified>
</cp:coreProperties>
</file>