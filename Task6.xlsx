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32713acee9cfac/Desktop/SOURABH PROJECT/"/>
    </mc:Choice>
  </mc:AlternateContent>
  <xr:revisionPtr revIDLastSave="209" documentId="8_{68D68A8A-D8DE-430A-8954-2EAB8866A6FF}" xr6:coauthVersionLast="47" xr6:coauthVersionMax="47" xr10:uidLastSave="{BA155D1B-E957-4AC8-AC44-9F349D0842FB}"/>
  <bookViews>
    <workbookView xWindow="-120" yWindow="-120" windowWidth="20730" windowHeight="11040" xr2:uid="{325B5BD6-1AB2-4414-8CA5-C298D7BED2A0}"/>
  </bookViews>
  <sheets>
    <sheet name="Task6" sheetId="1" r:id="rId1"/>
  </sheets>
  <definedNames>
    <definedName name="_xlnm._FilterDatabase" localSheetId="0" hidden="1">Task6!$A$1:$C$201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2" i="1"/>
  <c r="H19" i="1"/>
  <c r="F3" i="1"/>
  <c r="F4" i="1"/>
  <c r="F5" i="1"/>
  <c r="F6" i="1"/>
  <c r="F7" i="1"/>
  <c r="F8" i="1"/>
  <c r="F9" i="1"/>
  <c r="F10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  <c r="K19" i="1"/>
</calcChain>
</file>

<file path=xl/sharedStrings.xml><?xml version="1.0" encoding="utf-8"?>
<sst xmlns="http://schemas.openxmlformats.org/spreadsheetml/2006/main" count="210" uniqueCount="14">
  <si>
    <t>Week_Start_Date</t>
  </si>
  <si>
    <t>Platform</t>
  </si>
  <si>
    <t>Net follower</t>
  </si>
  <si>
    <t>Instagram</t>
  </si>
  <si>
    <t>Facebook</t>
  </si>
  <si>
    <t>Twitter</t>
  </si>
  <si>
    <t>YouTube</t>
  </si>
  <si>
    <t>week highest net growth</t>
  </si>
  <si>
    <t>date</t>
  </si>
  <si>
    <t>AVERAGE</t>
  </si>
  <si>
    <t>Line chart shows follower growth trends</t>
  </si>
  <si>
    <t>Ad_Spend</t>
  </si>
  <si>
    <t>correlation</t>
  </si>
  <si>
    <t>Scatter chart shows correlation between ad spend and new 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</si>
</sst>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center"/>
    </xf>
    <xf numFmtId="14" fontId="4" fillId="0" borderId="2" xfId="0" applyNumberFormat="1" applyFont="1" applyBorder="1"/>
    <xf numFmtId="0" fontId="4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1" fillId="2" borderId="2" xfId="0" applyFont="1" applyFill="1" applyBorder="1"/>
    <xf numFmtId="1" fontId="0" fillId="0" borderId="2" xfId="0" applyNumberFormat="1" applyBorder="1" applyAlignment="1">
      <alignment horizontal="left"/>
    </xf>
    <xf numFmtId="164" fontId="5" fillId="0" borderId="0" xfId="0" applyNumberFormat="1" applyFont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top" wrapText="1"/>
    </xf>
    <xf numFmtId="0" fontId="5" fillId="0" borderId="2" xfId="0" applyFont="1" applyBorder="1"/>
    <xf numFmtId="164" fontId="5" fillId="0" borderId="2" xfId="0" applyNumberFormat="1" applyFon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009988692532179E-2"/>
          <c:y val="6.986111111111111E-2"/>
          <c:w val="0.94236292592964643"/>
          <c:h val="0.60369386118401869"/>
        </c:manualLayout>
      </c:layout>
      <c:lineChart>
        <c:grouping val="standard"/>
        <c:varyColors val="0"/>
        <c:ser>
          <c:idx val="0"/>
          <c:order val="0"/>
          <c:tx>
            <c:strRef>
              <c:f>Task6!$C$1</c:f>
              <c:strCache>
                <c:ptCount val="1"/>
                <c:pt idx="0">
                  <c:v>Net follower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Task6!$A$2:$B$201</c:f>
              <c:multiLvlStrCache>
                <c:ptCount val="200"/>
                <c:lvl>
                  <c:pt idx="0">
                    <c:v>Instagram</c:v>
                  </c:pt>
                  <c:pt idx="1">
                    <c:v>Facebook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Facebook</c:v>
                  </c:pt>
                  <c:pt idx="6">
                    <c:v>Twitter</c:v>
                  </c:pt>
                  <c:pt idx="7">
                    <c:v>YouTube</c:v>
                  </c:pt>
                  <c:pt idx="8">
                    <c:v>Instagram</c:v>
                  </c:pt>
                  <c:pt idx="9">
                    <c:v>Facebook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Instagram</c:v>
                  </c:pt>
                  <c:pt idx="13">
                    <c:v>Facebook</c:v>
                  </c:pt>
                  <c:pt idx="14">
                    <c:v>Twitter</c:v>
                  </c:pt>
                  <c:pt idx="15">
                    <c:v>YouTube</c:v>
                  </c:pt>
                  <c:pt idx="16">
                    <c:v>Instagram</c:v>
                  </c:pt>
                  <c:pt idx="17">
                    <c:v>Facebook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Instagram</c:v>
                  </c:pt>
                  <c:pt idx="21">
                    <c:v>Facebook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Instagram</c:v>
                  </c:pt>
                  <c:pt idx="25">
                    <c:v>Facebook</c:v>
                  </c:pt>
                  <c:pt idx="26">
                    <c:v>Twitter</c:v>
                  </c:pt>
                  <c:pt idx="27">
                    <c:v>YouTube</c:v>
                  </c:pt>
                  <c:pt idx="28">
                    <c:v>Instagram</c:v>
                  </c:pt>
                  <c:pt idx="29">
                    <c:v>Facebook</c:v>
                  </c:pt>
                  <c:pt idx="30">
                    <c:v>Twitter</c:v>
                  </c:pt>
                  <c:pt idx="31">
                    <c:v>YouTube</c:v>
                  </c:pt>
                  <c:pt idx="32">
                    <c:v>Instagram</c:v>
                  </c:pt>
                  <c:pt idx="33">
                    <c:v>Facebook</c:v>
                  </c:pt>
                  <c:pt idx="34">
                    <c:v>Twitter</c:v>
                  </c:pt>
                  <c:pt idx="35">
                    <c:v>YouTube</c:v>
                  </c:pt>
                  <c:pt idx="36">
                    <c:v>Instagram</c:v>
                  </c:pt>
                  <c:pt idx="37">
                    <c:v>Facebook</c:v>
                  </c:pt>
                  <c:pt idx="38">
                    <c:v>Twitter</c:v>
                  </c:pt>
                  <c:pt idx="39">
                    <c:v>YouTube</c:v>
                  </c:pt>
                  <c:pt idx="40">
                    <c:v>Instagram</c:v>
                  </c:pt>
                  <c:pt idx="41">
                    <c:v>Facebook</c:v>
                  </c:pt>
                  <c:pt idx="42">
                    <c:v>Twitter</c:v>
                  </c:pt>
                  <c:pt idx="43">
                    <c:v>YouTube</c:v>
                  </c:pt>
                  <c:pt idx="44">
                    <c:v>Instagram</c:v>
                  </c:pt>
                  <c:pt idx="45">
                    <c:v>Facebook</c:v>
                  </c:pt>
                  <c:pt idx="46">
                    <c:v>Twitter</c:v>
                  </c:pt>
                  <c:pt idx="47">
                    <c:v>YouTube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Twitter</c:v>
                  </c:pt>
                  <c:pt idx="51">
                    <c:v>YouTube</c:v>
                  </c:pt>
                  <c:pt idx="52">
                    <c:v>Instagram</c:v>
                  </c:pt>
                  <c:pt idx="53">
                    <c:v>Facebook</c:v>
                  </c:pt>
                  <c:pt idx="54">
                    <c:v>Twitter</c:v>
                  </c:pt>
                  <c:pt idx="55">
                    <c:v>YouTube</c:v>
                  </c:pt>
                  <c:pt idx="56">
                    <c:v>Instagram</c:v>
                  </c:pt>
                  <c:pt idx="57">
                    <c:v>Facebook</c:v>
                  </c:pt>
                  <c:pt idx="58">
                    <c:v>Twitter</c:v>
                  </c:pt>
                  <c:pt idx="59">
                    <c:v>YouTube</c:v>
                  </c:pt>
                  <c:pt idx="60">
                    <c:v>Instagram</c:v>
                  </c:pt>
                  <c:pt idx="61">
                    <c:v>Facebook</c:v>
                  </c:pt>
                  <c:pt idx="62">
                    <c:v>Twitter</c:v>
                  </c:pt>
                  <c:pt idx="63">
                    <c:v>YouTube</c:v>
                  </c:pt>
                  <c:pt idx="64">
                    <c:v>Instagram</c:v>
                  </c:pt>
                  <c:pt idx="65">
                    <c:v>Facebook</c:v>
                  </c:pt>
                  <c:pt idx="66">
                    <c:v>Twitter</c:v>
                  </c:pt>
                  <c:pt idx="67">
                    <c:v>YouTube</c:v>
                  </c:pt>
                  <c:pt idx="68">
                    <c:v>Instagram</c:v>
                  </c:pt>
                  <c:pt idx="69">
                    <c:v>Facebook</c:v>
                  </c:pt>
                  <c:pt idx="70">
                    <c:v>Twitter</c:v>
                  </c:pt>
                  <c:pt idx="71">
                    <c:v>YouTube</c:v>
                  </c:pt>
                  <c:pt idx="72">
                    <c:v>Instagram</c:v>
                  </c:pt>
                  <c:pt idx="73">
                    <c:v>Facebook</c:v>
                  </c:pt>
                  <c:pt idx="74">
                    <c:v>Twitter</c:v>
                  </c:pt>
                  <c:pt idx="75">
                    <c:v>YouTube</c:v>
                  </c:pt>
                  <c:pt idx="76">
                    <c:v>Instagram</c:v>
                  </c:pt>
                  <c:pt idx="77">
                    <c:v>Facebook</c:v>
                  </c:pt>
                  <c:pt idx="78">
                    <c:v>Twitter</c:v>
                  </c:pt>
                  <c:pt idx="79">
                    <c:v>YouTube</c:v>
                  </c:pt>
                  <c:pt idx="80">
                    <c:v>Instagram</c:v>
                  </c:pt>
                  <c:pt idx="81">
                    <c:v>Facebook</c:v>
                  </c:pt>
                  <c:pt idx="82">
                    <c:v>Twitter</c:v>
                  </c:pt>
                  <c:pt idx="83">
                    <c:v>YouTube</c:v>
                  </c:pt>
                  <c:pt idx="84">
                    <c:v>Instagram</c:v>
                  </c:pt>
                  <c:pt idx="85">
                    <c:v>Facebook</c:v>
                  </c:pt>
                  <c:pt idx="86">
                    <c:v>Twitter</c:v>
                  </c:pt>
                  <c:pt idx="87">
                    <c:v>YouTube</c:v>
                  </c:pt>
                  <c:pt idx="88">
                    <c:v>Instagram</c:v>
                  </c:pt>
                  <c:pt idx="89">
                    <c:v>Facebook</c:v>
                  </c:pt>
                  <c:pt idx="90">
                    <c:v>Twitter</c:v>
                  </c:pt>
                  <c:pt idx="91">
                    <c:v>YouTube</c:v>
                  </c:pt>
                  <c:pt idx="92">
                    <c:v>Instagram</c:v>
                  </c:pt>
                  <c:pt idx="93">
                    <c:v>Facebook</c:v>
                  </c:pt>
                  <c:pt idx="94">
                    <c:v>Twitter</c:v>
                  </c:pt>
                  <c:pt idx="95">
                    <c:v>YouTube</c:v>
                  </c:pt>
                  <c:pt idx="96">
                    <c:v>Instagram</c:v>
                  </c:pt>
                  <c:pt idx="97">
                    <c:v>Facebook</c:v>
                  </c:pt>
                  <c:pt idx="98">
                    <c:v>Twitter</c:v>
                  </c:pt>
                  <c:pt idx="99">
                    <c:v>YouTube</c:v>
                  </c:pt>
                  <c:pt idx="100">
                    <c:v>Instagram</c:v>
                  </c:pt>
                  <c:pt idx="101">
                    <c:v>Facebook</c:v>
                  </c:pt>
                  <c:pt idx="102">
                    <c:v>Twitter</c:v>
                  </c:pt>
                  <c:pt idx="103">
                    <c:v>YouTube</c:v>
                  </c:pt>
                  <c:pt idx="104">
                    <c:v>Instagram</c:v>
                  </c:pt>
                  <c:pt idx="105">
                    <c:v>Facebook</c:v>
                  </c:pt>
                  <c:pt idx="106">
                    <c:v>Twitter</c:v>
                  </c:pt>
                  <c:pt idx="107">
                    <c:v>YouTube</c:v>
                  </c:pt>
                  <c:pt idx="108">
                    <c:v>Instagram</c:v>
                  </c:pt>
                  <c:pt idx="109">
                    <c:v>Facebook</c:v>
                  </c:pt>
                  <c:pt idx="110">
                    <c:v>Twitter</c:v>
                  </c:pt>
                  <c:pt idx="111">
                    <c:v>YouTube</c:v>
                  </c:pt>
                  <c:pt idx="112">
                    <c:v>Instagram</c:v>
                  </c:pt>
                  <c:pt idx="113">
                    <c:v>Facebook</c:v>
                  </c:pt>
                  <c:pt idx="114">
                    <c:v>Twitter</c:v>
                  </c:pt>
                  <c:pt idx="115">
                    <c:v>YouTube</c:v>
                  </c:pt>
                  <c:pt idx="116">
                    <c:v>Instagram</c:v>
                  </c:pt>
                  <c:pt idx="117">
                    <c:v>Facebook</c:v>
                  </c:pt>
                  <c:pt idx="118">
                    <c:v>Twitter</c:v>
                  </c:pt>
                  <c:pt idx="119">
                    <c:v>YouTube</c:v>
                  </c:pt>
                  <c:pt idx="120">
                    <c:v>Instagram</c:v>
                  </c:pt>
                  <c:pt idx="121">
                    <c:v>Facebook</c:v>
                  </c:pt>
                  <c:pt idx="122">
                    <c:v>Twitter</c:v>
                  </c:pt>
                  <c:pt idx="123">
                    <c:v>YouTube</c:v>
                  </c:pt>
                  <c:pt idx="124">
                    <c:v>Instagram</c:v>
                  </c:pt>
                  <c:pt idx="125">
                    <c:v>Facebook</c:v>
                  </c:pt>
                  <c:pt idx="126">
                    <c:v>Twitter</c:v>
                  </c:pt>
                  <c:pt idx="127">
                    <c:v>YouTube</c:v>
                  </c:pt>
                  <c:pt idx="128">
                    <c:v>Instagram</c:v>
                  </c:pt>
                  <c:pt idx="129">
                    <c:v>Facebook</c:v>
                  </c:pt>
                  <c:pt idx="130">
                    <c:v>Twitter</c:v>
                  </c:pt>
                  <c:pt idx="131">
                    <c:v>YouTube</c:v>
                  </c:pt>
                  <c:pt idx="132">
                    <c:v>Instagram</c:v>
                  </c:pt>
                  <c:pt idx="133">
                    <c:v>Facebook</c:v>
                  </c:pt>
                  <c:pt idx="134">
                    <c:v>Twitter</c:v>
                  </c:pt>
                  <c:pt idx="135">
                    <c:v>YouTube</c:v>
                  </c:pt>
                  <c:pt idx="136">
                    <c:v>Instagram</c:v>
                  </c:pt>
                  <c:pt idx="137">
                    <c:v>Facebook</c:v>
                  </c:pt>
                  <c:pt idx="138">
                    <c:v>Twitter</c:v>
                  </c:pt>
                  <c:pt idx="139">
                    <c:v>YouTube</c:v>
                  </c:pt>
                  <c:pt idx="140">
                    <c:v>Instagram</c:v>
                  </c:pt>
                  <c:pt idx="141">
                    <c:v>Facebook</c:v>
                  </c:pt>
                  <c:pt idx="142">
                    <c:v>Twitter</c:v>
                  </c:pt>
                  <c:pt idx="143">
                    <c:v>YouTube</c:v>
                  </c:pt>
                  <c:pt idx="144">
                    <c:v>Instagram</c:v>
                  </c:pt>
                  <c:pt idx="145">
                    <c:v>Facebook</c:v>
                  </c:pt>
                  <c:pt idx="146">
                    <c:v>Twitter</c:v>
                  </c:pt>
                  <c:pt idx="147">
                    <c:v>YouTube</c:v>
                  </c:pt>
                  <c:pt idx="148">
                    <c:v>Instagram</c:v>
                  </c:pt>
                  <c:pt idx="149">
                    <c:v>Facebook</c:v>
                  </c:pt>
                  <c:pt idx="150">
                    <c:v>Twitter</c:v>
                  </c:pt>
                  <c:pt idx="151">
                    <c:v>YouTube</c:v>
                  </c:pt>
                  <c:pt idx="152">
                    <c:v>Instagram</c:v>
                  </c:pt>
                  <c:pt idx="153">
                    <c:v>Facebook</c:v>
                  </c:pt>
                  <c:pt idx="154">
                    <c:v>Twitter</c:v>
                  </c:pt>
                  <c:pt idx="155">
                    <c:v>YouTube</c:v>
                  </c:pt>
                  <c:pt idx="156">
                    <c:v>Instagram</c:v>
                  </c:pt>
                  <c:pt idx="157">
                    <c:v>Facebook</c:v>
                  </c:pt>
                  <c:pt idx="158">
                    <c:v>Twitter</c:v>
                  </c:pt>
                  <c:pt idx="159">
                    <c:v>YouTube</c:v>
                  </c:pt>
                  <c:pt idx="160">
                    <c:v>Instagram</c:v>
                  </c:pt>
                  <c:pt idx="161">
                    <c:v>Facebook</c:v>
                  </c:pt>
                  <c:pt idx="162">
                    <c:v>Twitter</c:v>
                  </c:pt>
                  <c:pt idx="163">
                    <c:v>YouTube</c:v>
                  </c:pt>
                  <c:pt idx="164">
                    <c:v>Instagram</c:v>
                  </c:pt>
                  <c:pt idx="165">
                    <c:v>Facebook</c:v>
                  </c:pt>
                  <c:pt idx="166">
                    <c:v>Twitter</c:v>
                  </c:pt>
                  <c:pt idx="167">
                    <c:v>YouTube</c:v>
                  </c:pt>
                  <c:pt idx="168">
                    <c:v>Instagram</c:v>
                  </c:pt>
                  <c:pt idx="169">
                    <c:v>Facebook</c:v>
                  </c:pt>
                  <c:pt idx="170">
                    <c:v>Twitter</c:v>
                  </c:pt>
                  <c:pt idx="171">
                    <c:v>YouTube</c:v>
                  </c:pt>
                  <c:pt idx="172">
                    <c:v>Instagram</c:v>
                  </c:pt>
                  <c:pt idx="173">
                    <c:v>Facebook</c:v>
                  </c:pt>
                  <c:pt idx="174">
                    <c:v>Twitter</c:v>
                  </c:pt>
                  <c:pt idx="175">
                    <c:v>YouTube</c:v>
                  </c:pt>
                  <c:pt idx="176">
                    <c:v>Instagram</c:v>
                  </c:pt>
                  <c:pt idx="177">
                    <c:v>Facebook</c:v>
                  </c:pt>
                  <c:pt idx="178">
                    <c:v>Twitter</c:v>
                  </c:pt>
                  <c:pt idx="179">
                    <c:v>YouTube</c:v>
                  </c:pt>
                  <c:pt idx="180">
                    <c:v>Instagram</c:v>
                  </c:pt>
                  <c:pt idx="181">
                    <c:v>Facebook</c:v>
                  </c:pt>
                  <c:pt idx="182">
                    <c:v>Twitter</c:v>
                  </c:pt>
                  <c:pt idx="183">
                    <c:v>YouTube</c:v>
                  </c:pt>
                  <c:pt idx="184">
                    <c:v>Instagram</c:v>
                  </c:pt>
                  <c:pt idx="185">
                    <c:v>Facebook</c:v>
                  </c:pt>
                  <c:pt idx="186">
                    <c:v>Twitter</c:v>
                  </c:pt>
                  <c:pt idx="187">
                    <c:v>YouTube</c:v>
                  </c:pt>
                  <c:pt idx="188">
                    <c:v>Instagram</c:v>
                  </c:pt>
                  <c:pt idx="189">
                    <c:v>Facebook</c:v>
                  </c:pt>
                  <c:pt idx="190">
                    <c:v>Twitter</c:v>
                  </c:pt>
                  <c:pt idx="191">
                    <c:v>YouTube</c:v>
                  </c:pt>
                  <c:pt idx="192">
                    <c:v>Instagram</c:v>
                  </c:pt>
                  <c:pt idx="193">
                    <c:v>Facebook</c:v>
                  </c:pt>
                  <c:pt idx="194">
                    <c:v>Twitter</c:v>
                  </c:pt>
                  <c:pt idx="195">
                    <c:v>YouTube</c:v>
                  </c:pt>
                  <c:pt idx="196">
                    <c:v>Instagram</c:v>
                  </c:pt>
                  <c:pt idx="197">
                    <c:v>Facebook</c:v>
                  </c:pt>
                  <c:pt idx="198">
                    <c:v>Twitter</c:v>
                  </c:pt>
                  <c:pt idx="199">
                    <c:v>YouTube</c:v>
                  </c:pt>
                </c:lvl>
                <c:lvl>
                  <c:pt idx="0">
                    <c:v>6/3/2024</c:v>
                  </c:pt>
                  <c:pt idx="1">
                    <c:v>6/3/2024</c:v>
                  </c:pt>
                  <c:pt idx="2">
                    <c:v>6/3/2024</c:v>
                  </c:pt>
                  <c:pt idx="3">
                    <c:v>6/3/2024</c:v>
                  </c:pt>
                  <c:pt idx="4">
                    <c:v>6/10/2024</c:v>
                  </c:pt>
                  <c:pt idx="5">
                    <c:v>6/10/2024</c:v>
                  </c:pt>
                  <c:pt idx="6">
                    <c:v>6/10/2024</c:v>
                  </c:pt>
                  <c:pt idx="7">
                    <c:v>6/10/2024</c:v>
                  </c:pt>
                  <c:pt idx="8">
                    <c:v>6/17/2024</c:v>
                  </c:pt>
                  <c:pt idx="9">
                    <c:v>6/17/2024</c:v>
                  </c:pt>
                  <c:pt idx="10">
                    <c:v>6/17/2024</c:v>
                  </c:pt>
                  <c:pt idx="11">
                    <c:v>6/17/2024</c:v>
                  </c:pt>
                  <c:pt idx="12">
                    <c:v>6/24/2024</c:v>
                  </c:pt>
                  <c:pt idx="13">
                    <c:v>6/24/2024</c:v>
                  </c:pt>
                  <c:pt idx="14">
                    <c:v>6/24/2024</c:v>
                  </c:pt>
                  <c:pt idx="15">
                    <c:v>6/24/2024</c:v>
                  </c:pt>
                  <c:pt idx="16">
                    <c:v>7/1/2024</c:v>
                  </c:pt>
                  <c:pt idx="17">
                    <c:v>7/1/2024</c:v>
                  </c:pt>
                  <c:pt idx="18">
                    <c:v>7/1/2024</c:v>
                  </c:pt>
                  <c:pt idx="19">
                    <c:v>7/1/2024</c:v>
                  </c:pt>
                  <c:pt idx="20">
                    <c:v>7/8/2024</c:v>
                  </c:pt>
                  <c:pt idx="21">
                    <c:v>7/8/2024</c:v>
                  </c:pt>
                  <c:pt idx="22">
                    <c:v>7/8/2024</c:v>
                  </c:pt>
                  <c:pt idx="23">
                    <c:v>7/8/2024</c:v>
                  </c:pt>
                  <c:pt idx="24">
                    <c:v>7/15/2024</c:v>
                  </c:pt>
                  <c:pt idx="25">
                    <c:v>7/15/2024</c:v>
                  </c:pt>
                  <c:pt idx="26">
                    <c:v>7/15/2024</c:v>
                  </c:pt>
                  <c:pt idx="27">
                    <c:v>7/15/2024</c:v>
                  </c:pt>
                  <c:pt idx="28">
                    <c:v>7/22/2024</c:v>
                  </c:pt>
                  <c:pt idx="29">
                    <c:v>7/22/2024</c:v>
                  </c:pt>
                  <c:pt idx="30">
                    <c:v>7/22/2024</c:v>
                  </c:pt>
                  <c:pt idx="31">
                    <c:v>7/22/2024</c:v>
                  </c:pt>
                  <c:pt idx="32">
                    <c:v>7/29/2024</c:v>
                  </c:pt>
                  <c:pt idx="33">
                    <c:v>7/29/2024</c:v>
                  </c:pt>
                  <c:pt idx="34">
                    <c:v>7/29/2024</c:v>
                  </c:pt>
                  <c:pt idx="35">
                    <c:v>7/29/2024</c:v>
                  </c:pt>
                  <c:pt idx="36">
                    <c:v>8/5/2024</c:v>
                  </c:pt>
                  <c:pt idx="37">
                    <c:v>8/5/2024</c:v>
                  </c:pt>
                  <c:pt idx="38">
                    <c:v>8/5/2024</c:v>
                  </c:pt>
                  <c:pt idx="39">
                    <c:v>8/5/2024</c:v>
                  </c:pt>
                  <c:pt idx="40">
                    <c:v>8/12/2024</c:v>
                  </c:pt>
                  <c:pt idx="41">
                    <c:v>8/12/2024</c:v>
                  </c:pt>
                  <c:pt idx="42">
                    <c:v>8/12/2024</c:v>
                  </c:pt>
                  <c:pt idx="43">
                    <c:v>8/12/2024</c:v>
                  </c:pt>
                  <c:pt idx="44">
                    <c:v>8/19/2024</c:v>
                  </c:pt>
                  <c:pt idx="45">
                    <c:v>8/19/2024</c:v>
                  </c:pt>
                  <c:pt idx="46">
                    <c:v>8/19/2024</c:v>
                  </c:pt>
                  <c:pt idx="47">
                    <c:v>8/19/2024</c:v>
                  </c:pt>
                  <c:pt idx="48">
                    <c:v>8/26/2024</c:v>
                  </c:pt>
                  <c:pt idx="49">
                    <c:v>8/26/2024</c:v>
                  </c:pt>
                  <c:pt idx="50">
                    <c:v>8/26/2024</c:v>
                  </c:pt>
                  <c:pt idx="51">
                    <c:v>8/26/2024</c:v>
                  </c:pt>
                  <c:pt idx="52">
                    <c:v>9/2/2024</c:v>
                  </c:pt>
                  <c:pt idx="53">
                    <c:v>9/2/2024</c:v>
                  </c:pt>
                  <c:pt idx="54">
                    <c:v>9/2/2024</c:v>
                  </c:pt>
                  <c:pt idx="55">
                    <c:v>9/2/2024</c:v>
                  </c:pt>
                  <c:pt idx="56">
                    <c:v>9/9/2024</c:v>
                  </c:pt>
                  <c:pt idx="57">
                    <c:v>9/9/2024</c:v>
                  </c:pt>
                  <c:pt idx="58">
                    <c:v>9/9/2024</c:v>
                  </c:pt>
                  <c:pt idx="59">
                    <c:v>9/9/2024</c:v>
                  </c:pt>
                  <c:pt idx="60">
                    <c:v>9/16/2024</c:v>
                  </c:pt>
                  <c:pt idx="61">
                    <c:v>9/16/2024</c:v>
                  </c:pt>
                  <c:pt idx="62">
                    <c:v>9/16/2024</c:v>
                  </c:pt>
                  <c:pt idx="63">
                    <c:v>9/16/2024</c:v>
                  </c:pt>
                  <c:pt idx="64">
                    <c:v>9/23/2024</c:v>
                  </c:pt>
                  <c:pt idx="65">
                    <c:v>9/23/2024</c:v>
                  </c:pt>
                  <c:pt idx="66">
                    <c:v>9/23/2024</c:v>
                  </c:pt>
                  <c:pt idx="67">
                    <c:v>9/23/2024</c:v>
                  </c:pt>
                  <c:pt idx="68">
                    <c:v>9/30/2024</c:v>
                  </c:pt>
                  <c:pt idx="69">
                    <c:v>9/30/2024</c:v>
                  </c:pt>
                  <c:pt idx="70">
                    <c:v>9/30/2024</c:v>
                  </c:pt>
                  <c:pt idx="71">
                    <c:v>9/30/2024</c:v>
                  </c:pt>
                  <c:pt idx="72">
                    <c:v>10/7/2024</c:v>
                  </c:pt>
                  <c:pt idx="73">
                    <c:v>10/7/2024</c:v>
                  </c:pt>
                  <c:pt idx="74">
                    <c:v>10/7/2024</c:v>
                  </c:pt>
                  <c:pt idx="75">
                    <c:v>10/7/2024</c:v>
                  </c:pt>
                  <c:pt idx="76">
                    <c:v>10/14/2024</c:v>
                  </c:pt>
                  <c:pt idx="77">
                    <c:v>10/14/2024</c:v>
                  </c:pt>
                  <c:pt idx="78">
                    <c:v>10/14/2024</c:v>
                  </c:pt>
                  <c:pt idx="79">
                    <c:v>10/14/2024</c:v>
                  </c:pt>
                  <c:pt idx="80">
                    <c:v>10/21/2024</c:v>
                  </c:pt>
                  <c:pt idx="81">
                    <c:v>10/21/2024</c:v>
                  </c:pt>
                  <c:pt idx="82">
                    <c:v>10/21/2024</c:v>
                  </c:pt>
                  <c:pt idx="83">
                    <c:v>10/21/2024</c:v>
                  </c:pt>
                  <c:pt idx="84">
                    <c:v>10/28/2024</c:v>
                  </c:pt>
                  <c:pt idx="85">
                    <c:v>10/28/2024</c:v>
                  </c:pt>
                  <c:pt idx="86">
                    <c:v>10/28/2024</c:v>
                  </c:pt>
                  <c:pt idx="87">
                    <c:v>10/28/2024</c:v>
                  </c:pt>
                  <c:pt idx="88">
                    <c:v>11/4/2024</c:v>
                  </c:pt>
                  <c:pt idx="89">
                    <c:v>11/4/2024</c:v>
                  </c:pt>
                  <c:pt idx="90">
                    <c:v>11/4/2024</c:v>
                  </c:pt>
                  <c:pt idx="91">
                    <c:v>11/4/2024</c:v>
                  </c:pt>
                  <c:pt idx="92">
                    <c:v>11/11/2024</c:v>
                  </c:pt>
                  <c:pt idx="93">
                    <c:v>11/11/2024</c:v>
                  </c:pt>
                  <c:pt idx="94">
                    <c:v>11/11/2024</c:v>
                  </c:pt>
                  <c:pt idx="95">
                    <c:v>11/11/2024</c:v>
                  </c:pt>
                  <c:pt idx="96">
                    <c:v>11/18/2024</c:v>
                  </c:pt>
                  <c:pt idx="97">
                    <c:v>11/18/2024</c:v>
                  </c:pt>
                  <c:pt idx="98">
                    <c:v>11/18/2024</c:v>
                  </c:pt>
                  <c:pt idx="99">
                    <c:v>11/18/2024</c:v>
                  </c:pt>
                  <c:pt idx="100">
                    <c:v>11/25/2024</c:v>
                  </c:pt>
                  <c:pt idx="101">
                    <c:v>11/25/2024</c:v>
                  </c:pt>
                  <c:pt idx="102">
                    <c:v>11/25/2024</c:v>
                  </c:pt>
                  <c:pt idx="103">
                    <c:v>11/25/2024</c:v>
                  </c:pt>
                  <c:pt idx="104">
                    <c:v>12/2/2024</c:v>
                  </c:pt>
                  <c:pt idx="105">
                    <c:v>12/2/2024</c:v>
                  </c:pt>
                  <c:pt idx="106">
                    <c:v>12/2/2024</c:v>
                  </c:pt>
                  <c:pt idx="107">
                    <c:v>12/2/2024</c:v>
                  </c:pt>
                  <c:pt idx="108">
                    <c:v>12/9/2024</c:v>
                  </c:pt>
                  <c:pt idx="109">
                    <c:v>12/9/2024</c:v>
                  </c:pt>
                  <c:pt idx="110">
                    <c:v>12/9/2024</c:v>
                  </c:pt>
                  <c:pt idx="111">
                    <c:v>12/9/2024</c:v>
                  </c:pt>
                  <c:pt idx="112">
                    <c:v>12/16/2024</c:v>
                  </c:pt>
                  <c:pt idx="113">
                    <c:v>12/16/2024</c:v>
                  </c:pt>
                  <c:pt idx="114">
                    <c:v>12/16/2024</c:v>
                  </c:pt>
                  <c:pt idx="115">
                    <c:v>12/16/2024</c:v>
                  </c:pt>
                  <c:pt idx="116">
                    <c:v>12/23/2024</c:v>
                  </c:pt>
                  <c:pt idx="117">
                    <c:v>12/23/2024</c:v>
                  </c:pt>
                  <c:pt idx="118">
                    <c:v>12/23/2024</c:v>
                  </c:pt>
                  <c:pt idx="119">
                    <c:v>12/23/2024</c:v>
                  </c:pt>
                  <c:pt idx="120">
                    <c:v>12/30/2024</c:v>
                  </c:pt>
                  <c:pt idx="121">
                    <c:v>12/30/2024</c:v>
                  </c:pt>
                  <c:pt idx="122">
                    <c:v>12/30/2024</c:v>
                  </c:pt>
                  <c:pt idx="123">
                    <c:v>12/30/2024</c:v>
                  </c:pt>
                  <c:pt idx="124">
                    <c:v>1/6/2025</c:v>
                  </c:pt>
                  <c:pt idx="125">
                    <c:v>1/6/2025</c:v>
                  </c:pt>
                  <c:pt idx="126">
                    <c:v>1/6/2025</c:v>
                  </c:pt>
                  <c:pt idx="127">
                    <c:v>1/6/2025</c:v>
                  </c:pt>
                  <c:pt idx="128">
                    <c:v>1/13/2025</c:v>
                  </c:pt>
                  <c:pt idx="129">
                    <c:v>1/13/2025</c:v>
                  </c:pt>
                  <c:pt idx="130">
                    <c:v>1/13/2025</c:v>
                  </c:pt>
                  <c:pt idx="131">
                    <c:v>1/13/2025</c:v>
                  </c:pt>
                  <c:pt idx="132">
                    <c:v>1/20/2025</c:v>
                  </c:pt>
                  <c:pt idx="133">
                    <c:v>1/20/2025</c:v>
                  </c:pt>
                  <c:pt idx="134">
                    <c:v>1/20/2025</c:v>
                  </c:pt>
                  <c:pt idx="135">
                    <c:v>1/20/2025</c:v>
                  </c:pt>
                  <c:pt idx="136">
                    <c:v>1/27/2025</c:v>
                  </c:pt>
                  <c:pt idx="137">
                    <c:v>1/27/2025</c:v>
                  </c:pt>
                  <c:pt idx="138">
                    <c:v>1/27/2025</c:v>
                  </c:pt>
                  <c:pt idx="139">
                    <c:v>1/27/2025</c:v>
                  </c:pt>
                  <c:pt idx="140">
                    <c:v>2/3/2025</c:v>
                  </c:pt>
                  <c:pt idx="141">
                    <c:v>2/3/2025</c:v>
                  </c:pt>
                  <c:pt idx="142">
                    <c:v>2/3/2025</c:v>
                  </c:pt>
                  <c:pt idx="143">
                    <c:v>2/3/2025</c:v>
                  </c:pt>
                  <c:pt idx="144">
                    <c:v>2/10/2025</c:v>
                  </c:pt>
                  <c:pt idx="145">
                    <c:v>2/10/2025</c:v>
                  </c:pt>
                  <c:pt idx="146">
                    <c:v>2/10/2025</c:v>
                  </c:pt>
                  <c:pt idx="147">
                    <c:v>2/10/2025</c:v>
                  </c:pt>
                  <c:pt idx="148">
                    <c:v>2/17/2025</c:v>
                  </c:pt>
                  <c:pt idx="149">
                    <c:v>2/17/2025</c:v>
                  </c:pt>
                  <c:pt idx="150">
                    <c:v>2/17/2025</c:v>
                  </c:pt>
                  <c:pt idx="151">
                    <c:v>2/17/2025</c:v>
                  </c:pt>
                  <c:pt idx="152">
                    <c:v>2/24/2025</c:v>
                  </c:pt>
                  <c:pt idx="153">
                    <c:v>2/24/2025</c:v>
                  </c:pt>
                  <c:pt idx="154">
                    <c:v>2/24/2025</c:v>
                  </c:pt>
                  <c:pt idx="155">
                    <c:v>2/24/2025</c:v>
                  </c:pt>
                  <c:pt idx="156">
                    <c:v>3/3/2025</c:v>
                  </c:pt>
                  <c:pt idx="157">
                    <c:v>3/3/2025</c:v>
                  </c:pt>
                  <c:pt idx="158">
                    <c:v>3/3/2025</c:v>
                  </c:pt>
                  <c:pt idx="159">
                    <c:v>3/3/2025</c:v>
                  </c:pt>
                  <c:pt idx="160">
                    <c:v>3/10/2025</c:v>
                  </c:pt>
                  <c:pt idx="161">
                    <c:v>3/10/2025</c:v>
                  </c:pt>
                  <c:pt idx="162">
                    <c:v>3/10/2025</c:v>
                  </c:pt>
                  <c:pt idx="163">
                    <c:v>3/10/2025</c:v>
                  </c:pt>
                  <c:pt idx="164">
                    <c:v>3/17/2025</c:v>
                  </c:pt>
                  <c:pt idx="165">
                    <c:v>3/17/2025</c:v>
                  </c:pt>
                  <c:pt idx="166">
                    <c:v>3/17/2025</c:v>
                  </c:pt>
                  <c:pt idx="167">
                    <c:v>3/17/2025</c:v>
                  </c:pt>
                  <c:pt idx="168">
                    <c:v>3/24/2025</c:v>
                  </c:pt>
                  <c:pt idx="169">
                    <c:v>3/24/2025</c:v>
                  </c:pt>
                  <c:pt idx="170">
                    <c:v>3/24/2025</c:v>
                  </c:pt>
                  <c:pt idx="171">
                    <c:v>3/24/2025</c:v>
                  </c:pt>
                  <c:pt idx="172">
                    <c:v>3/31/2025</c:v>
                  </c:pt>
                  <c:pt idx="173">
                    <c:v>3/31/2025</c:v>
                  </c:pt>
                  <c:pt idx="174">
                    <c:v>3/31/2025</c:v>
                  </c:pt>
                  <c:pt idx="175">
                    <c:v>3/31/2025</c:v>
                  </c:pt>
                  <c:pt idx="176">
                    <c:v>4/7/2025</c:v>
                  </c:pt>
                  <c:pt idx="177">
                    <c:v>4/7/2025</c:v>
                  </c:pt>
                  <c:pt idx="178">
                    <c:v>4/7/2025</c:v>
                  </c:pt>
                  <c:pt idx="179">
                    <c:v>4/7/2025</c:v>
                  </c:pt>
                  <c:pt idx="180">
                    <c:v>4/14/2025</c:v>
                  </c:pt>
                  <c:pt idx="181">
                    <c:v>4/14/2025</c:v>
                  </c:pt>
                  <c:pt idx="182">
                    <c:v>4/14/2025</c:v>
                  </c:pt>
                  <c:pt idx="183">
                    <c:v>4/14/2025</c:v>
                  </c:pt>
                  <c:pt idx="184">
                    <c:v>4/21/2025</c:v>
                  </c:pt>
                  <c:pt idx="185">
                    <c:v>4/21/2025</c:v>
                  </c:pt>
                  <c:pt idx="186">
                    <c:v>4/21/2025</c:v>
                  </c:pt>
                  <c:pt idx="187">
                    <c:v>4/21/2025</c:v>
                  </c:pt>
                  <c:pt idx="188">
                    <c:v>4/28/2025</c:v>
                  </c:pt>
                  <c:pt idx="189">
                    <c:v>4/28/2025</c:v>
                  </c:pt>
                  <c:pt idx="190">
                    <c:v>4/28/2025</c:v>
                  </c:pt>
                  <c:pt idx="191">
                    <c:v>4/28/2025</c:v>
                  </c:pt>
                  <c:pt idx="192">
                    <c:v>5/5/2025</c:v>
                  </c:pt>
                  <c:pt idx="193">
                    <c:v>5/5/2025</c:v>
                  </c:pt>
                  <c:pt idx="194">
                    <c:v>5/5/2025</c:v>
                  </c:pt>
                  <c:pt idx="195">
                    <c:v>5/5/2025</c:v>
                  </c:pt>
                  <c:pt idx="196">
                    <c:v>5/12/2025</c:v>
                  </c:pt>
                  <c:pt idx="197">
                    <c:v>5/12/2025</c:v>
                  </c:pt>
                  <c:pt idx="198">
                    <c:v>5/12/2025</c:v>
                  </c:pt>
                  <c:pt idx="199">
                    <c:v>5/12/2025</c:v>
                  </c:pt>
                </c:lvl>
              </c:multiLvlStrCache>
            </c:multiLvlStrRef>
          </c:cat>
          <c:val>
            <c:numRef>
              <c:f>Task6!$C$2:$C$201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8-49E3-ABEA-71F744CF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894512"/>
        <c:axId val="543895952"/>
      </c:lineChart>
      <c:catAx>
        <c:axId val="54389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95952"/>
        <c:crosses val="autoZero"/>
        <c:auto val="1"/>
        <c:lblAlgn val="ctr"/>
        <c:lblOffset val="100"/>
        <c:noMultiLvlLbl val="0"/>
      </c:catAx>
      <c:valAx>
        <c:axId val="5438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9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00495155013295E-2"/>
          <c:y val="6.4814814814814811E-2"/>
          <c:w val="0.93466943439634009"/>
          <c:h val="0.89814814814814814"/>
        </c:manualLayout>
      </c:layout>
      <c:lineChart>
        <c:grouping val="stacked"/>
        <c:varyColors val="0"/>
        <c:ser>
          <c:idx val="0"/>
          <c:order val="0"/>
          <c:tx>
            <c:strRef>
              <c:f>Task6!$B$2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>
                    <a:alpha val="97000"/>
                  </a:schemeClr>
                </a:solidFill>
              </a:ln>
              <a:effectLst/>
            </c:spPr>
          </c:marker>
          <c:val>
            <c:numRef>
              <c:f>Task6!$D$2:$D$201</c:f>
              <c:numCache>
                <c:formatCode>0</c:formatCode>
                <c:ptCount val="200"/>
                <c:pt idx="0">
                  <c:v>800.52499999999998</c:v>
                </c:pt>
                <c:pt idx="1">
                  <c:v>799.286432160804</c:v>
                </c:pt>
                <c:pt idx="2">
                  <c:v>798.26262626262621</c:v>
                </c:pt>
                <c:pt idx="3">
                  <c:v>800.20812182741122</c:v>
                </c:pt>
                <c:pt idx="4">
                  <c:v>798.7295918367347</c:v>
                </c:pt>
                <c:pt idx="5">
                  <c:v>800.17435897435894</c:v>
                </c:pt>
                <c:pt idx="6">
                  <c:v>797.68556701030923</c:v>
                </c:pt>
                <c:pt idx="7">
                  <c:v>800.85492227979273</c:v>
                </c:pt>
                <c:pt idx="8">
                  <c:v>799.84895833333337</c:v>
                </c:pt>
                <c:pt idx="9">
                  <c:v>799.36125654450257</c:v>
                </c:pt>
                <c:pt idx="10">
                  <c:v>796.29473684210529</c:v>
                </c:pt>
                <c:pt idx="11">
                  <c:v>793.65608465608466</c:v>
                </c:pt>
                <c:pt idx="12">
                  <c:v>796.08510638297878</c:v>
                </c:pt>
                <c:pt idx="13">
                  <c:v>796.97860962566847</c:v>
                </c:pt>
                <c:pt idx="14">
                  <c:v>792.28494623655911</c:v>
                </c:pt>
                <c:pt idx="15">
                  <c:v>792.05405405405406</c:v>
                </c:pt>
                <c:pt idx="16">
                  <c:v>797.0271739130435</c:v>
                </c:pt>
                <c:pt idx="17">
                  <c:v>802.57923497267757</c:v>
                </c:pt>
                <c:pt idx="18">
                  <c:v>806.63736263736268</c:v>
                </c:pt>
                <c:pt idx="19">
                  <c:v>803.59668508287291</c:v>
                </c:pt>
                <c:pt idx="20">
                  <c:v>807.55555555555554</c:v>
                </c:pt>
                <c:pt idx="21">
                  <c:v>802.72625698324021</c:v>
                </c:pt>
                <c:pt idx="22">
                  <c:v>805.5</c:v>
                </c:pt>
                <c:pt idx="23">
                  <c:v>806.96045197740114</c:v>
                </c:pt>
                <c:pt idx="24">
                  <c:v>808.625</c:v>
                </c:pt>
                <c:pt idx="25">
                  <c:v>802.70285714285717</c:v>
                </c:pt>
                <c:pt idx="26">
                  <c:v>808.25862068965512</c:v>
                </c:pt>
                <c:pt idx="27">
                  <c:v>810.45086705202311</c:v>
                </c:pt>
                <c:pt idx="28">
                  <c:v>814.23255813953483</c:v>
                </c:pt>
                <c:pt idx="29">
                  <c:v>818.06432748538009</c:v>
                </c:pt>
                <c:pt idx="30">
                  <c:v>817.22352941176473</c:v>
                </c:pt>
                <c:pt idx="31">
                  <c:v>814.27218934911241</c:v>
                </c:pt>
                <c:pt idx="32">
                  <c:v>817.23214285714289</c:v>
                </c:pt>
                <c:pt idx="33">
                  <c:v>818.88622754491018</c:v>
                </c:pt>
                <c:pt idx="34">
                  <c:v>825.73493975903614</c:v>
                </c:pt>
                <c:pt idx="35">
                  <c:v>821.67878787878783</c:v>
                </c:pt>
                <c:pt idx="36">
                  <c:v>823.79268292682923</c:v>
                </c:pt>
                <c:pt idx="37">
                  <c:v>826.68711656441712</c:v>
                </c:pt>
                <c:pt idx="38">
                  <c:v>833.00617283950612</c:v>
                </c:pt>
                <c:pt idx="39">
                  <c:v>836.14285714285711</c:v>
                </c:pt>
                <c:pt idx="40">
                  <c:v>839.375</c:v>
                </c:pt>
                <c:pt idx="41">
                  <c:v>836.32075471698113</c:v>
                </c:pt>
                <c:pt idx="42">
                  <c:v>833.1708860759494</c:v>
                </c:pt>
                <c:pt idx="43">
                  <c:v>838.24203821656056</c:v>
                </c:pt>
                <c:pt idx="44">
                  <c:v>837</c:v>
                </c:pt>
                <c:pt idx="45">
                  <c:v>841.90967741935481</c:v>
                </c:pt>
                <c:pt idx="46">
                  <c:v>840.50649350649348</c:v>
                </c:pt>
                <c:pt idx="47">
                  <c:v>835.11764705882354</c:v>
                </c:pt>
                <c:pt idx="48">
                  <c:v>839.36184210526312</c:v>
                </c:pt>
                <c:pt idx="49">
                  <c:v>834.26490066225165</c:v>
                </c:pt>
                <c:pt idx="50">
                  <c:v>839.58</c:v>
                </c:pt>
                <c:pt idx="51">
                  <c:v>836.96644295302008</c:v>
                </c:pt>
                <c:pt idx="52">
                  <c:v>842.43243243243239</c:v>
                </c:pt>
                <c:pt idx="53">
                  <c:v>839.6802721088435</c:v>
                </c:pt>
                <c:pt idx="54">
                  <c:v>838.27397260273972</c:v>
                </c:pt>
                <c:pt idx="55">
                  <c:v>842.69655172413798</c:v>
                </c:pt>
                <c:pt idx="56">
                  <c:v>846.23611111111109</c:v>
                </c:pt>
                <c:pt idx="57">
                  <c:v>841.16083916083915</c:v>
                </c:pt>
                <c:pt idx="58">
                  <c:v>837.02816901408448</c:v>
                </c:pt>
                <c:pt idx="59">
                  <c:v>841.12056737588648</c:v>
                </c:pt>
                <c:pt idx="60">
                  <c:v>839.2714285714286</c:v>
                </c:pt>
                <c:pt idx="61">
                  <c:v>842.59712230215825</c:v>
                </c:pt>
                <c:pt idx="62">
                  <c:v>847.99275362318838</c:v>
                </c:pt>
                <c:pt idx="63">
                  <c:v>845.97080291970804</c:v>
                </c:pt>
                <c:pt idx="64">
                  <c:v>852.42647058823525</c:v>
                </c:pt>
                <c:pt idx="65">
                  <c:v>853.80740740740737</c:v>
                </c:pt>
                <c:pt idx="66">
                  <c:v>860.32089552238801</c:v>
                </c:pt>
                <c:pt idx="67">
                  <c:v>854.15789473684208</c:v>
                </c:pt>
                <c:pt idx="68">
                  <c:v>853.00757575757575</c:v>
                </c:pt>
                <c:pt idx="69">
                  <c:v>851.69465648854964</c:v>
                </c:pt>
                <c:pt idx="70">
                  <c:v>859.62307692307695</c:v>
                </c:pt>
                <c:pt idx="71">
                  <c:v>861.64341085271315</c:v>
                </c:pt>
                <c:pt idx="72">
                  <c:v>855.046875</c:v>
                </c:pt>
                <c:pt idx="73">
                  <c:v>847.03937007874015</c:v>
                </c:pt>
                <c:pt idx="74">
                  <c:v>840.57142857142856</c:v>
                </c:pt>
                <c:pt idx="75">
                  <c:v>846.44</c:v>
                </c:pt>
                <c:pt idx="76">
                  <c:v>852.31451612903231</c:v>
                </c:pt>
                <c:pt idx="77">
                  <c:v>849.29268292682923</c:v>
                </c:pt>
                <c:pt idx="78">
                  <c:v>853.91803278688519</c:v>
                </c:pt>
                <c:pt idx="79">
                  <c:v>861.14049586776855</c:v>
                </c:pt>
                <c:pt idx="80">
                  <c:v>865.25833333333333</c:v>
                </c:pt>
                <c:pt idx="81">
                  <c:v>870.32773109243692</c:v>
                </c:pt>
                <c:pt idx="82">
                  <c:v>873.98305084745766</c:v>
                </c:pt>
                <c:pt idx="83">
                  <c:v>876.017094017094</c:v>
                </c:pt>
                <c:pt idx="84">
                  <c:v>870.77586206896547</c:v>
                </c:pt>
                <c:pt idx="85">
                  <c:v>873.33913043478265</c:v>
                </c:pt>
                <c:pt idx="86">
                  <c:v>877.61403508771934</c:v>
                </c:pt>
                <c:pt idx="87">
                  <c:v>885.05309734513276</c:v>
                </c:pt>
                <c:pt idx="88">
                  <c:v>878.16071428571433</c:v>
                </c:pt>
                <c:pt idx="89">
                  <c:v>873.48648648648646</c:v>
                </c:pt>
                <c:pt idx="90">
                  <c:v>876.5181818181818</c:v>
                </c:pt>
                <c:pt idx="91">
                  <c:v>869.85321100917429</c:v>
                </c:pt>
                <c:pt idx="92">
                  <c:v>868.24074074074076</c:v>
                </c:pt>
                <c:pt idx="93">
                  <c:v>867.92523364485976</c:v>
                </c:pt>
                <c:pt idx="94">
                  <c:v>877.11320754716985</c:v>
                </c:pt>
                <c:pt idx="95">
                  <c:v>874.51428571428573</c:v>
                </c:pt>
                <c:pt idx="96">
                  <c:v>879.56730769230774</c:v>
                </c:pt>
                <c:pt idx="97">
                  <c:v>888.5825242718447</c:v>
                </c:pt>
                <c:pt idx="98">
                  <c:v>896.58823529411768</c:v>
                </c:pt>
                <c:pt idx="99">
                  <c:v>901.05940594059405</c:v>
                </c:pt>
                <c:pt idx="100">
                  <c:v>909.47</c:v>
                </c:pt>
                <c:pt idx="101">
                  <c:v>901.55555555555554</c:v>
                </c:pt>
                <c:pt idx="102">
                  <c:v>897.16326530612241</c:v>
                </c:pt>
                <c:pt idx="103">
                  <c:v>905.40206185567013</c:v>
                </c:pt>
                <c:pt idx="104">
                  <c:v>905.61458333333337</c:v>
                </c:pt>
                <c:pt idx="105">
                  <c:v>898.04210526315785</c:v>
                </c:pt>
                <c:pt idx="106">
                  <c:v>889.44680851063833</c:v>
                </c:pt>
                <c:pt idx="107">
                  <c:v>886.39784946236557</c:v>
                </c:pt>
                <c:pt idx="108">
                  <c:v>892.86956521739125</c:v>
                </c:pt>
                <c:pt idx="109">
                  <c:v>890.38461538461536</c:v>
                </c:pt>
                <c:pt idx="110">
                  <c:v>885.02222222222224</c:v>
                </c:pt>
                <c:pt idx="111">
                  <c:v>875.56179775280896</c:v>
                </c:pt>
                <c:pt idx="112">
                  <c:v>879</c:v>
                </c:pt>
                <c:pt idx="113">
                  <c:v>872.64367816091954</c:v>
                </c:pt>
                <c:pt idx="114">
                  <c:v>866.77906976744191</c:v>
                </c:pt>
                <c:pt idx="115">
                  <c:v>860.98823529411766</c:v>
                </c:pt>
                <c:pt idx="116">
                  <c:v>860.80952380952385</c:v>
                </c:pt>
                <c:pt idx="117">
                  <c:v>862.93975903614455</c:v>
                </c:pt>
                <c:pt idx="118">
                  <c:v>864.56097560975604</c:v>
                </c:pt>
                <c:pt idx="119">
                  <c:v>863.98765432098764</c:v>
                </c:pt>
                <c:pt idx="120">
                  <c:v>854.92499999999995</c:v>
                </c:pt>
                <c:pt idx="121">
                  <c:v>843.40506329113919</c:v>
                </c:pt>
                <c:pt idx="122">
                  <c:v>831.4487179487179</c:v>
                </c:pt>
                <c:pt idx="123">
                  <c:v>822.38961038961043</c:v>
                </c:pt>
                <c:pt idx="124">
                  <c:v>814</c:v>
                </c:pt>
                <c:pt idx="125">
                  <c:v>812.81333333333339</c:v>
                </c:pt>
                <c:pt idx="126">
                  <c:v>815.41891891891896</c:v>
                </c:pt>
                <c:pt idx="127">
                  <c:v>810.31506849315065</c:v>
                </c:pt>
                <c:pt idx="128">
                  <c:v>809.81944444444446</c:v>
                </c:pt>
                <c:pt idx="129">
                  <c:v>796.97183098591552</c:v>
                </c:pt>
                <c:pt idx="130">
                  <c:v>804.1</c:v>
                </c:pt>
                <c:pt idx="131">
                  <c:v>817.84057971014488</c:v>
                </c:pt>
                <c:pt idx="132">
                  <c:v>816.61764705882354</c:v>
                </c:pt>
                <c:pt idx="133">
                  <c:v>805.3432835820895</c:v>
                </c:pt>
                <c:pt idx="134">
                  <c:v>811.07575757575762</c:v>
                </c:pt>
                <c:pt idx="135">
                  <c:v>809.84615384615381</c:v>
                </c:pt>
                <c:pt idx="136">
                  <c:v>811.1875</c:v>
                </c:pt>
                <c:pt idx="137">
                  <c:v>826.69841269841265</c:v>
                </c:pt>
                <c:pt idx="138">
                  <c:v>825.54838709677415</c:v>
                </c:pt>
                <c:pt idx="139">
                  <c:v>815.70491803278685</c:v>
                </c:pt>
                <c:pt idx="140">
                  <c:v>808.88333333333333</c:v>
                </c:pt>
                <c:pt idx="141">
                  <c:v>804.28813559322032</c:v>
                </c:pt>
                <c:pt idx="142">
                  <c:v>805.25862068965512</c:v>
                </c:pt>
                <c:pt idx="143">
                  <c:v>809.40350877192986</c:v>
                </c:pt>
                <c:pt idx="144">
                  <c:v>827.48214285714289</c:v>
                </c:pt>
                <c:pt idx="145">
                  <c:v>811.2</c:v>
                </c:pt>
                <c:pt idx="146">
                  <c:v>809.33333333333337</c:v>
                </c:pt>
                <c:pt idx="147">
                  <c:v>801.92452830188677</c:v>
                </c:pt>
                <c:pt idx="148">
                  <c:v>789.57692307692309</c:v>
                </c:pt>
                <c:pt idx="149">
                  <c:v>786.13725490196077</c:v>
                </c:pt>
                <c:pt idx="150">
                  <c:v>770.06</c:v>
                </c:pt>
                <c:pt idx="151">
                  <c:v>786.53061224489795</c:v>
                </c:pt>
                <c:pt idx="152">
                  <c:v>778.4375</c:v>
                </c:pt>
                <c:pt idx="153">
                  <c:v>765.74468085106378</c:v>
                </c:pt>
                <c:pt idx="154">
                  <c:v>745.28260869565213</c:v>
                </c:pt>
                <c:pt idx="155">
                  <c:v>746.11111111111109</c:v>
                </c:pt>
                <c:pt idx="156">
                  <c:v>739.97727272727275</c:v>
                </c:pt>
                <c:pt idx="157">
                  <c:v>726.60465116279067</c:v>
                </c:pt>
                <c:pt idx="158">
                  <c:v>746.73809523809518</c:v>
                </c:pt>
                <c:pt idx="159">
                  <c:v>743.02439024390242</c:v>
                </c:pt>
                <c:pt idx="160">
                  <c:v>753.72500000000002</c:v>
                </c:pt>
                <c:pt idx="161">
                  <c:v>767.61538461538464</c:v>
                </c:pt>
                <c:pt idx="162">
                  <c:v>763.92105263157896</c:v>
                </c:pt>
                <c:pt idx="163">
                  <c:v>748.08108108108104</c:v>
                </c:pt>
                <c:pt idx="164">
                  <c:v>734.36111111111109</c:v>
                </c:pt>
                <c:pt idx="165">
                  <c:v>735.91428571428571</c:v>
                </c:pt>
                <c:pt idx="166">
                  <c:v>724.73529411764707</c:v>
                </c:pt>
                <c:pt idx="167">
                  <c:v>720.60606060606062</c:v>
                </c:pt>
                <c:pt idx="168">
                  <c:v>699.84375</c:v>
                </c:pt>
                <c:pt idx="169">
                  <c:v>707.54838709677415</c:v>
                </c:pt>
                <c:pt idx="170">
                  <c:v>715.33333333333337</c:v>
                </c:pt>
                <c:pt idx="171">
                  <c:v>729.93103448275861</c:v>
                </c:pt>
                <c:pt idx="172">
                  <c:v>742.10714285714289</c:v>
                </c:pt>
                <c:pt idx="173">
                  <c:v>745.85185185185185</c:v>
                </c:pt>
                <c:pt idx="174">
                  <c:v>754.76923076923072</c:v>
                </c:pt>
                <c:pt idx="175">
                  <c:v>717.92</c:v>
                </c:pt>
                <c:pt idx="176">
                  <c:v>686.70833333333337</c:v>
                </c:pt>
                <c:pt idx="177">
                  <c:v>709.304347826087</c:v>
                </c:pt>
                <c:pt idx="178">
                  <c:v>694.77272727272725</c:v>
                </c:pt>
                <c:pt idx="179">
                  <c:v>679.90476190476193</c:v>
                </c:pt>
                <c:pt idx="180">
                  <c:v>703.45</c:v>
                </c:pt>
                <c:pt idx="181">
                  <c:v>748.89473684210532</c:v>
                </c:pt>
                <c:pt idx="182">
                  <c:v>800.22222222222217</c:v>
                </c:pt>
                <c:pt idx="183">
                  <c:v>844.17647058823525</c:v>
                </c:pt>
                <c:pt idx="184">
                  <c:v>887.875</c:v>
                </c:pt>
                <c:pt idx="185">
                  <c:v>906.86666666666667</c:v>
                </c:pt>
                <c:pt idx="186">
                  <c:v>897</c:v>
                </c:pt>
                <c:pt idx="187">
                  <c:v>907.61538461538464</c:v>
                </c:pt>
                <c:pt idx="188">
                  <c:v>847.16666666666663</c:v>
                </c:pt>
                <c:pt idx="189">
                  <c:v>784.27272727272725</c:v>
                </c:pt>
                <c:pt idx="190">
                  <c:v>817.4</c:v>
                </c:pt>
                <c:pt idx="191">
                  <c:v>802.88888888888891</c:v>
                </c:pt>
                <c:pt idx="192">
                  <c:v>823.625</c:v>
                </c:pt>
                <c:pt idx="193">
                  <c:v>672.57142857142856</c:v>
                </c:pt>
                <c:pt idx="194">
                  <c:v>728.16666666666663</c:v>
                </c:pt>
                <c:pt idx="195">
                  <c:v>571.79999999999995</c:v>
                </c:pt>
                <c:pt idx="196">
                  <c:v>498.75</c:v>
                </c:pt>
                <c:pt idx="197">
                  <c:v>113</c:v>
                </c:pt>
                <c:pt idx="198">
                  <c:v>-34</c:v>
                </c:pt>
                <c:pt idx="199">
                  <c:v>-337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2AB-46B5-997E-834DFCCF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910448"/>
        <c:axId val="670909488"/>
      </c:lineChart>
      <c:catAx>
        <c:axId val="67091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09488"/>
        <c:crosses val="autoZero"/>
        <c:auto val="1"/>
        <c:lblAlgn val="ctr"/>
        <c:lblOffset val="100"/>
        <c:noMultiLvlLbl val="0"/>
      </c:catAx>
      <c:valAx>
        <c:axId val="67090948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104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067147856517942E-2"/>
          <c:y val="0.1115277777777778"/>
          <c:w val="0.84848840769903766"/>
          <c:h val="0.8181100275047336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Task6!$E$2:$E$201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Task6!$C$2:$C$201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02-465C-9B1F-44A5C0596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217392"/>
        <c:axId val="549204432"/>
      </c:scatterChart>
      <c:valAx>
        <c:axId val="54921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04432"/>
        <c:crosses val="autoZero"/>
        <c:crossBetween val="midCat"/>
      </c:valAx>
      <c:valAx>
        <c:axId val="5492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361949</xdr:colOff>
      <xdr:row>0</xdr:row>
      <xdr:rowOff>138112</xdr:rowOff>
    </xdr:from>
    <xdr:to>
      <xdr:col>23</xdr:col>
      <xdr:colOff>66674</xdr:colOff>
      <xdr:row>15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E20514-CAA3-4982-9961-A8D667FF3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21</xdr:row>
      <xdr:rowOff>33337</xdr:rowOff>
    </xdr:from>
    <xdr:to>
      <xdr:col>21</xdr:col>
      <xdr:colOff>47625</xdr:colOff>
      <xdr:row>35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4022CD-A348-2C54-6130-A8201F450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133350</xdr:colOff>
      <xdr:row>37</xdr:row>
      <xdr:rowOff>104776</xdr:rowOff>
    </xdr:from>
    <xdr:to>
      <xdr:col>17</xdr:col>
      <xdr:colOff>180975</xdr:colOff>
      <xdr:row>54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6061EC-D02A-87AD-A449-16F7A2FCB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8C4E-37D5-4FC4-932F-5BFC09C323AD}">
  <dimension ref="A1:R201"/>
  <sheetViews>
    <sheetView tabSelected="1" zoomScaleNormal="100" workbookViewId="0">
      <selection activeCell="H19" sqref="H19:J19"/>
    </sheetView>
  </sheetViews>
  <sheetFormatPr defaultRowHeight="15" x14ac:dyDescent="0.25"/>
  <cols>
    <col min="1" max="1" width="16.7109375" bestFit="1" customWidth="1"/>
    <col min="3" max="3" width="11.85546875" customWidth="1"/>
    <col min="4" max="5" width="14.28515625" customWidth="1"/>
    <col min="6" max="7" width="12.28515625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11" t="s">
        <v>9</v>
      </c>
      <c r="E1" s="2" t="s">
        <v>11</v>
      </c>
      <c r="F1" s="12" t="s">
        <v>12</v>
      </c>
      <c r="G1" s="10"/>
    </row>
    <row r="2" spans="1:7" x14ac:dyDescent="0.25">
      <c r="A2" s="4">
        <v>45446</v>
      </c>
      <c r="B2" s="5" t="s">
        <v>3</v>
      </c>
      <c r="C2" s="6">
        <v>1047</v>
      </c>
      <c r="D2" s="9">
        <f>AVERAGE(C2:C201)</f>
        <v>800.52499999999998</v>
      </c>
      <c r="E2" s="13">
        <v>5904</v>
      </c>
      <c r="F2" s="14">
        <f>CORREL(C2:C201,E2:E201)</f>
        <v>8.5932221904422137E-2</v>
      </c>
      <c r="G2" s="10"/>
    </row>
    <row r="3" spans="1:7" x14ac:dyDescent="0.25">
      <c r="A3" s="4">
        <v>45446</v>
      </c>
      <c r="B3" s="5" t="s">
        <v>4</v>
      </c>
      <c r="C3" s="6">
        <v>1002</v>
      </c>
      <c r="D3" s="9">
        <f t="shared" ref="D3:D66" si="0">AVERAGE(C3:C202)</f>
        <v>799.286432160804</v>
      </c>
      <c r="E3" s="13">
        <v>9566</v>
      </c>
      <c r="F3" s="14">
        <f t="shared" ref="F3:F66" si="1">CORREL(C3:C202,E3:E202)</f>
        <v>8.9102270635965625E-2</v>
      </c>
      <c r="G3" s="10"/>
    </row>
    <row r="4" spans="1:7" x14ac:dyDescent="0.25">
      <c r="A4" s="4">
        <v>45446</v>
      </c>
      <c r="B4" s="5" t="s">
        <v>5</v>
      </c>
      <c r="C4" s="6">
        <v>415</v>
      </c>
      <c r="D4" s="9">
        <f t="shared" si="0"/>
        <v>798.26262626262621</v>
      </c>
      <c r="E4" s="13">
        <v>26752</v>
      </c>
      <c r="F4" s="14">
        <f t="shared" si="1"/>
        <v>9.1212124456758012E-2</v>
      </c>
      <c r="G4" s="10"/>
    </row>
    <row r="5" spans="1:7" x14ac:dyDescent="0.25">
      <c r="A5" s="4">
        <v>45446</v>
      </c>
      <c r="B5" s="5" t="s">
        <v>6</v>
      </c>
      <c r="C5" s="6">
        <v>1090</v>
      </c>
      <c r="D5" s="9">
        <f t="shared" si="0"/>
        <v>800.20812182741122</v>
      </c>
      <c r="E5" s="13">
        <v>30671</v>
      </c>
      <c r="F5" s="14">
        <f t="shared" si="1"/>
        <v>9.1886474533133991E-2</v>
      </c>
      <c r="G5" s="10"/>
    </row>
    <row r="6" spans="1:7" x14ac:dyDescent="0.25">
      <c r="A6" s="4">
        <v>45453</v>
      </c>
      <c r="B6" s="5" t="s">
        <v>3</v>
      </c>
      <c r="C6" s="6">
        <v>517</v>
      </c>
      <c r="D6" s="9">
        <f t="shared" si="0"/>
        <v>798.7295918367347</v>
      </c>
      <c r="E6" s="13">
        <v>9920</v>
      </c>
      <c r="F6" s="14">
        <f t="shared" si="1"/>
        <v>9.0856666309084871E-2</v>
      </c>
      <c r="G6" s="10"/>
    </row>
    <row r="7" spans="1:7" x14ac:dyDescent="0.25">
      <c r="A7" s="4">
        <v>45453</v>
      </c>
      <c r="B7" s="5" t="s">
        <v>4</v>
      </c>
      <c r="C7" s="6">
        <v>1283</v>
      </c>
      <c r="D7" s="9">
        <f t="shared" si="0"/>
        <v>800.17435897435894</v>
      </c>
      <c r="E7" s="13">
        <v>7924</v>
      </c>
      <c r="F7" s="14">
        <f t="shared" si="1"/>
        <v>8.865531835583175E-2</v>
      </c>
      <c r="G7" s="10"/>
    </row>
    <row r="8" spans="1:7" x14ac:dyDescent="0.25">
      <c r="A8" s="4">
        <v>45453</v>
      </c>
      <c r="B8" s="5" t="s">
        <v>5</v>
      </c>
      <c r="C8" s="6">
        <v>186</v>
      </c>
      <c r="D8" s="9">
        <f t="shared" si="0"/>
        <v>797.68556701030923</v>
      </c>
      <c r="E8" s="13">
        <v>8912</v>
      </c>
      <c r="F8" s="14">
        <f t="shared" si="1"/>
        <v>9.4056004406129559E-2</v>
      </c>
      <c r="G8" s="10"/>
    </row>
    <row r="9" spans="1:7" x14ac:dyDescent="0.25">
      <c r="A9" s="4">
        <v>45453</v>
      </c>
      <c r="B9" s="5" t="s">
        <v>6</v>
      </c>
      <c r="C9" s="6">
        <v>994</v>
      </c>
      <c r="D9" s="9">
        <f t="shared" si="0"/>
        <v>800.85492227979273</v>
      </c>
      <c r="E9" s="13">
        <v>21205</v>
      </c>
      <c r="F9" s="14">
        <f t="shared" si="1"/>
        <v>8.8677224828049239E-2</v>
      </c>
      <c r="G9" s="10"/>
    </row>
    <row r="10" spans="1:7" x14ac:dyDescent="0.25">
      <c r="A10" s="4">
        <v>45460</v>
      </c>
      <c r="B10" s="5" t="s">
        <v>3</v>
      </c>
      <c r="C10" s="6">
        <v>893</v>
      </c>
      <c r="D10" s="9">
        <f t="shared" si="0"/>
        <v>799.84895833333337</v>
      </c>
      <c r="E10" s="13">
        <v>11329</v>
      </c>
      <c r="F10" s="14">
        <f t="shared" si="1"/>
        <v>8.9115443113524886E-2</v>
      </c>
      <c r="G10" s="10"/>
    </row>
    <row r="11" spans="1:7" x14ac:dyDescent="0.25">
      <c r="A11" s="4">
        <v>45460</v>
      </c>
      <c r="B11" s="5" t="s">
        <v>4</v>
      </c>
      <c r="C11" s="6">
        <v>1382</v>
      </c>
      <c r="D11" s="9">
        <f t="shared" si="0"/>
        <v>799.36125654450257</v>
      </c>
      <c r="E11" s="13">
        <v>46670</v>
      </c>
      <c r="F11" s="14">
        <f t="shared" si="1"/>
        <v>9.0102873087760008E-2</v>
      </c>
      <c r="G11" s="10"/>
    </row>
    <row r="12" spans="1:7" x14ac:dyDescent="0.25">
      <c r="A12" s="4">
        <v>45460</v>
      </c>
      <c r="B12" s="5" t="s">
        <v>5</v>
      </c>
      <c r="C12" s="6">
        <v>1295</v>
      </c>
      <c r="D12" s="9">
        <f t="shared" si="0"/>
        <v>796.29473684210529</v>
      </c>
      <c r="E12" s="13">
        <v>22482</v>
      </c>
      <c r="F12" s="14">
        <f t="shared" si="1"/>
        <v>8.2794238151386174E-2</v>
      </c>
      <c r="G12" s="10"/>
    </row>
    <row r="13" spans="1:7" x14ac:dyDescent="0.25">
      <c r="A13" s="4">
        <v>45460</v>
      </c>
      <c r="B13" s="5" t="s">
        <v>6</v>
      </c>
      <c r="C13" s="6">
        <v>337</v>
      </c>
      <c r="D13" s="9">
        <f t="shared" si="0"/>
        <v>793.65608465608466</v>
      </c>
      <c r="E13" s="13">
        <v>24313</v>
      </c>
      <c r="F13" s="14">
        <f t="shared" si="1"/>
        <v>8.3586096464207074E-2</v>
      </c>
      <c r="G13" s="10"/>
    </row>
    <row r="14" spans="1:7" x14ac:dyDescent="0.25">
      <c r="A14" s="4">
        <v>45467</v>
      </c>
      <c r="B14" s="5" t="s">
        <v>3</v>
      </c>
      <c r="C14" s="6">
        <v>629</v>
      </c>
      <c r="D14" s="9">
        <f t="shared" si="0"/>
        <v>796.08510638297878</v>
      </c>
      <c r="E14" s="13">
        <v>18050</v>
      </c>
      <c r="F14" s="14">
        <f>CORREL(C14:C213,E14:E213)</f>
        <v>8.3658353664528576E-2</v>
      </c>
      <c r="G14" s="10"/>
    </row>
    <row r="15" spans="1:7" x14ac:dyDescent="0.25">
      <c r="A15" s="4">
        <v>45467</v>
      </c>
      <c r="B15" s="5" t="s">
        <v>4</v>
      </c>
      <c r="C15" s="6">
        <v>1670</v>
      </c>
      <c r="D15" s="9">
        <f t="shared" si="0"/>
        <v>796.97860962566847</v>
      </c>
      <c r="E15" s="13">
        <v>30635</v>
      </c>
      <c r="F15" s="14">
        <f t="shared" si="1"/>
        <v>8.3037861291417159E-2</v>
      </c>
      <c r="G15" s="10"/>
    </row>
    <row r="16" spans="1:7" x14ac:dyDescent="0.25">
      <c r="A16" s="4">
        <v>45467</v>
      </c>
      <c r="B16" s="5" t="s">
        <v>5</v>
      </c>
      <c r="C16" s="6">
        <v>835</v>
      </c>
      <c r="D16" s="9">
        <f t="shared" si="0"/>
        <v>792.28494623655911</v>
      </c>
      <c r="E16" s="13">
        <v>31280</v>
      </c>
      <c r="F16" s="14">
        <f t="shared" si="1"/>
        <v>8.0148636295171355E-2</v>
      </c>
      <c r="G16" s="10"/>
    </row>
    <row r="17" spans="1:17" x14ac:dyDescent="0.25">
      <c r="A17" s="4">
        <v>45467</v>
      </c>
      <c r="B17" s="5" t="s">
        <v>6</v>
      </c>
      <c r="C17" s="6">
        <v>-123</v>
      </c>
      <c r="D17" s="9">
        <f t="shared" si="0"/>
        <v>792.05405405405406</v>
      </c>
      <c r="E17" s="13">
        <v>1783</v>
      </c>
      <c r="F17" s="14">
        <f t="shared" si="1"/>
        <v>8.001518954301623E-2</v>
      </c>
      <c r="G17" s="10"/>
    </row>
    <row r="18" spans="1:17" x14ac:dyDescent="0.25">
      <c r="A18" s="4">
        <v>45474</v>
      </c>
      <c r="B18" s="5" t="s">
        <v>3</v>
      </c>
      <c r="C18" s="6">
        <v>-219</v>
      </c>
      <c r="D18" s="9">
        <f t="shared" si="0"/>
        <v>797.0271739130435</v>
      </c>
      <c r="E18" s="13">
        <v>9566</v>
      </c>
      <c r="F18" s="14">
        <f t="shared" si="1"/>
        <v>6.763179480652419E-2</v>
      </c>
      <c r="G18" s="10"/>
      <c r="H18" s="15" t="s">
        <v>7</v>
      </c>
      <c r="I18" s="15"/>
      <c r="J18" s="15"/>
      <c r="K18" s="8" t="s">
        <v>8</v>
      </c>
    </row>
    <row r="19" spans="1:17" x14ac:dyDescent="0.25">
      <c r="A19" s="4">
        <v>45474</v>
      </c>
      <c r="B19" s="5" t="s">
        <v>4</v>
      </c>
      <c r="C19" s="6">
        <v>64</v>
      </c>
      <c r="D19" s="9">
        <f t="shared" si="0"/>
        <v>802.57923497267757</v>
      </c>
      <c r="E19" s="13">
        <v>42307</v>
      </c>
      <c r="F19" s="14">
        <f t="shared" si="1"/>
        <v>5.8368231661206499E-2</v>
      </c>
      <c r="G19" s="10"/>
      <c r="H19" s="16">
        <f>MAX(C:C)</f>
        <v>1881</v>
      </c>
      <c r="I19" s="16"/>
      <c r="J19" s="16"/>
      <c r="K19" s="7">
        <f>_xlfn.XLOOKUP(H19,C:C,A:A)</f>
        <v>45782</v>
      </c>
    </row>
    <row r="20" spans="1:17" x14ac:dyDescent="0.25">
      <c r="A20" s="4">
        <v>45474</v>
      </c>
      <c r="B20" s="5" t="s">
        <v>5</v>
      </c>
      <c r="C20" s="6">
        <v>1357</v>
      </c>
      <c r="D20" s="9">
        <f t="shared" si="0"/>
        <v>806.63736263736268</v>
      </c>
      <c r="E20" s="13">
        <v>5914</v>
      </c>
      <c r="F20" s="14">
        <f t="shared" si="1"/>
        <v>6.7481801195588817E-2</v>
      </c>
      <c r="G20" s="10"/>
    </row>
    <row r="21" spans="1:17" x14ac:dyDescent="0.25">
      <c r="A21" s="4">
        <v>45474</v>
      </c>
      <c r="B21" s="5" t="s">
        <v>6</v>
      </c>
      <c r="C21" s="6">
        <v>91</v>
      </c>
      <c r="D21" s="9">
        <f t="shared" si="0"/>
        <v>803.59668508287291</v>
      </c>
      <c r="E21" s="13">
        <v>30060</v>
      </c>
      <c r="F21" s="14">
        <f t="shared" si="1"/>
        <v>7.4820309053904466E-2</v>
      </c>
      <c r="G21" s="10"/>
      <c r="L21" s="17" t="s">
        <v>10</v>
      </c>
      <c r="M21" s="17"/>
      <c r="N21" s="17"/>
      <c r="O21" s="17"/>
      <c r="P21" s="17"/>
      <c r="Q21" s="17"/>
    </row>
    <row r="22" spans="1:17" x14ac:dyDescent="0.25">
      <c r="A22" s="4">
        <v>45481</v>
      </c>
      <c r="B22" s="5" t="s">
        <v>3</v>
      </c>
      <c r="C22" s="6">
        <v>1672</v>
      </c>
      <c r="D22" s="9">
        <f t="shared" si="0"/>
        <v>807.55555555555554</v>
      </c>
      <c r="E22" s="13">
        <v>22728</v>
      </c>
      <c r="F22" s="14">
        <f t="shared" si="1"/>
        <v>7.771134567289123E-2</v>
      </c>
      <c r="G22" s="10"/>
    </row>
    <row r="23" spans="1:17" x14ac:dyDescent="0.25">
      <c r="A23" s="4">
        <v>45481</v>
      </c>
      <c r="B23" s="5" t="s">
        <v>4</v>
      </c>
      <c r="C23" s="6">
        <v>309</v>
      </c>
      <c r="D23" s="9">
        <f t="shared" si="0"/>
        <v>802.72625698324021</v>
      </c>
      <c r="E23" s="13">
        <v>38610</v>
      </c>
      <c r="F23" s="14">
        <f t="shared" si="1"/>
        <v>7.9294062481159097E-2</v>
      </c>
      <c r="G23" s="10"/>
    </row>
    <row r="24" spans="1:17" x14ac:dyDescent="0.25">
      <c r="A24" s="4">
        <v>45481</v>
      </c>
      <c r="B24" s="5" t="s">
        <v>5</v>
      </c>
      <c r="C24" s="6">
        <v>547</v>
      </c>
      <c r="D24" s="9">
        <f t="shared" si="0"/>
        <v>805.5</v>
      </c>
      <c r="E24" s="13">
        <v>2932</v>
      </c>
      <c r="F24" s="14">
        <f t="shared" si="1"/>
        <v>8.4326248022458181E-2</v>
      </c>
      <c r="G24" s="10"/>
    </row>
    <row r="25" spans="1:17" x14ac:dyDescent="0.25">
      <c r="A25" s="4">
        <v>45481</v>
      </c>
      <c r="B25" s="5" t="s">
        <v>6</v>
      </c>
      <c r="C25" s="6">
        <v>514</v>
      </c>
      <c r="D25" s="9">
        <f t="shared" si="0"/>
        <v>806.96045197740114</v>
      </c>
      <c r="E25" s="13">
        <v>15071</v>
      </c>
      <c r="F25" s="14">
        <f t="shared" si="1"/>
        <v>8.1132791213953379E-2</v>
      </c>
      <c r="G25" s="10"/>
    </row>
    <row r="26" spans="1:17" x14ac:dyDescent="0.25">
      <c r="A26" s="4">
        <v>45488</v>
      </c>
      <c r="B26" s="5" t="s">
        <v>3</v>
      </c>
      <c r="C26" s="6">
        <v>1845</v>
      </c>
      <c r="D26" s="9">
        <f t="shared" si="0"/>
        <v>808.625</v>
      </c>
      <c r="E26" s="13">
        <v>10740</v>
      </c>
      <c r="F26" s="14">
        <f t="shared" si="1"/>
        <v>7.9370878806985942E-2</v>
      </c>
      <c r="G26" s="10"/>
    </row>
    <row r="27" spans="1:17" x14ac:dyDescent="0.25">
      <c r="A27" s="4">
        <v>45488</v>
      </c>
      <c r="B27" s="5" t="s">
        <v>4</v>
      </c>
      <c r="C27" s="6">
        <v>-164</v>
      </c>
      <c r="D27" s="9">
        <f t="shared" si="0"/>
        <v>802.70285714285717</v>
      </c>
      <c r="E27" s="13">
        <v>43420</v>
      </c>
      <c r="F27" s="14">
        <f t="shared" si="1"/>
        <v>9.032750334421373E-2</v>
      </c>
      <c r="G27" s="10"/>
    </row>
    <row r="28" spans="1:17" x14ac:dyDescent="0.25">
      <c r="A28" s="4">
        <v>45488</v>
      </c>
      <c r="B28" s="5" t="s">
        <v>5</v>
      </c>
      <c r="C28" s="6">
        <v>429</v>
      </c>
      <c r="D28" s="9">
        <f t="shared" si="0"/>
        <v>808.25862068965512</v>
      </c>
      <c r="E28" s="13">
        <v>32393</v>
      </c>
      <c r="F28" s="14">
        <f t="shared" si="1"/>
        <v>0.10404743756122463</v>
      </c>
      <c r="G28" s="10"/>
    </row>
    <row r="29" spans="1:17" x14ac:dyDescent="0.25">
      <c r="A29" s="4">
        <v>45488</v>
      </c>
      <c r="B29" s="5" t="s">
        <v>6</v>
      </c>
      <c r="C29" s="6">
        <v>160</v>
      </c>
      <c r="D29" s="9">
        <f t="shared" si="0"/>
        <v>810.45086705202311</v>
      </c>
      <c r="E29" s="13">
        <v>28474</v>
      </c>
      <c r="F29" s="14">
        <f t="shared" si="1"/>
        <v>0.10629722760630464</v>
      </c>
      <c r="G29" s="10"/>
    </row>
    <row r="30" spans="1:17" x14ac:dyDescent="0.25">
      <c r="A30" s="4">
        <v>45495</v>
      </c>
      <c r="B30" s="5" t="s">
        <v>3</v>
      </c>
      <c r="C30" s="6">
        <v>159</v>
      </c>
      <c r="D30" s="9">
        <f t="shared" si="0"/>
        <v>814.23255813953483</v>
      </c>
      <c r="E30" s="13">
        <v>17328</v>
      </c>
      <c r="F30" s="14">
        <f t="shared" si="1"/>
        <v>0.10842349134676513</v>
      </c>
      <c r="G30" s="10"/>
    </row>
    <row r="31" spans="1:17" x14ac:dyDescent="0.25">
      <c r="A31" s="4">
        <v>45495</v>
      </c>
      <c r="B31" s="5" t="s">
        <v>4</v>
      </c>
      <c r="C31" s="6">
        <v>961</v>
      </c>
      <c r="D31" s="9">
        <f t="shared" si="0"/>
        <v>818.06432748538009</v>
      </c>
      <c r="E31" s="13">
        <v>26067</v>
      </c>
      <c r="F31" s="14">
        <f t="shared" si="1"/>
        <v>0.10549951840450117</v>
      </c>
      <c r="G31" s="10"/>
    </row>
    <row r="32" spans="1:17" x14ac:dyDescent="0.25">
      <c r="A32" s="4">
        <v>45495</v>
      </c>
      <c r="B32" s="5" t="s">
        <v>5</v>
      </c>
      <c r="C32" s="6">
        <v>1316</v>
      </c>
      <c r="D32" s="9">
        <f t="shared" si="0"/>
        <v>817.22352941176473</v>
      </c>
      <c r="E32" s="13">
        <v>32763</v>
      </c>
      <c r="F32" s="14">
        <f t="shared" si="1"/>
        <v>0.10538365706194641</v>
      </c>
      <c r="G32" s="10"/>
    </row>
    <row r="33" spans="1:18" x14ac:dyDescent="0.25">
      <c r="A33" s="4">
        <v>45495</v>
      </c>
      <c r="B33" s="5" t="s">
        <v>6</v>
      </c>
      <c r="C33" s="6">
        <v>317</v>
      </c>
      <c r="D33" s="9">
        <f t="shared" si="0"/>
        <v>814.27218934911241</v>
      </c>
      <c r="E33" s="13">
        <v>26452</v>
      </c>
      <c r="F33" s="14">
        <f t="shared" si="1"/>
        <v>0.10285638976945223</v>
      </c>
      <c r="G33" s="10"/>
    </row>
    <row r="34" spans="1:18" x14ac:dyDescent="0.25">
      <c r="A34" s="4">
        <v>45502</v>
      </c>
      <c r="B34" s="5" t="s">
        <v>3</v>
      </c>
      <c r="C34" s="6">
        <v>541</v>
      </c>
      <c r="D34" s="9">
        <f t="shared" si="0"/>
        <v>817.23214285714289</v>
      </c>
      <c r="E34" s="13">
        <v>15353</v>
      </c>
      <c r="F34" s="14">
        <f t="shared" si="1"/>
        <v>0.10370978969754777</v>
      </c>
      <c r="G34" s="10"/>
    </row>
    <row r="35" spans="1:18" x14ac:dyDescent="0.25">
      <c r="A35" s="4">
        <v>45502</v>
      </c>
      <c r="B35" s="5" t="s">
        <v>4</v>
      </c>
      <c r="C35" s="6">
        <v>-318</v>
      </c>
      <c r="D35" s="9">
        <f t="shared" si="0"/>
        <v>818.88622754491018</v>
      </c>
      <c r="E35" s="13">
        <v>4839</v>
      </c>
      <c r="F35" s="14">
        <f t="shared" si="1"/>
        <v>0.10208301237884976</v>
      </c>
      <c r="G35" s="10"/>
    </row>
    <row r="36" spans="1:18" x14ac:dyDescent="0.25">
      <c r="A36" s="4">
        <v>45502</v>
      </c>
      <c r="B36" s="5" t="s">
        <v>5</v>
      </c>
      <c r="C36" s="6">
        <v>1495</v>
      </c>
      <c r="D36" s="9">
        <f t="shared" si="0"/>
        <v>825.73493975903614</v>
      </c>
      <c r="E36" s="13">
        <v>39272</v>
      </c>
      <c r="F36" s="14">
        <f t="shared" si="1"/>
        <v>8.7476871008236506E-2</v>
      </c>
      <c r="G36" s="10"/>
    </row>
    <row r="37" spans="1:18" x14ac:dyDescent="0.25">
      <c r="A37" s="4">
        <v>45502</v>
      </c>
      <c r="B37" s="5" t="s">
        <v>6</v>
      </c>
      <c r="C37" s="6">
        <v>475</v>
      </c>
      <c r="D37" s="9">
        <f t="shared" si="0"/>
        <v>821.67878787878783</v>
      </c>
      <c r="E37" s="13">
        <v>16804</v>
      </c>
      <c r="F37" s="14">
        <f t="shared" si="1"/>
        <v>8.1042939538868708E-2</v>
      </c>
      <c r="G37" s="10"/>
      <c r="H37" s="17" t="s">
        <v>13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x14ac:dyDescent="0.25">
      <c r="A38" s="4">
        <v>45509</v>
      </c>
      <c r="B38" s="5" t="s">
        <v>3</v>
      </c>
      <c r="C38" s="6">
        <v>352</v>
      </c>
      <c r="D38" s="9">
        <f t="shared" si="0"/>
        <v>823.79268292682923</v>
      </c>
      <c r="E38" s="13">
        <v>49303</v>
      </c>
      <c r="F38" s="14">
        <f t="shared" si="1"/>
        <v>7.9196336063306005E-2</v>
      </c>
      <c r="G38" s="10"/>
    </row>
    <row r="39" spans="1:18" x14ac:dyDescent="0.25">
      <c r="A39" s="4">
        <v>45509</v>
      </c>
      <c r="B39" s="5" t="s">
        <v>4</v>
      </c>
      <c r="C39" s="6">
        <v>-197</v>
      </c>
      <c r="D39" s="9">
        <f t="shared" si="0"/>
        <v>826.68711656441712</v>
      </c>
      <c r="E39" s="13">
        <v>26455</v>
      </c>
      <c r="F39" s="14">
        <f t="shared" si="1"/>
        <v>8.8642738366999652E-2</v>
      </c>
      <c r="G39" s="10"/>
    </row>
    <row r="40" spans="1:18" x14ac:dyDescent="0.25">
      <c r="A40" s="4">
        <v>45509</v>
      </c>
      <c r="B40" s="5" t="s">
        <v>5</v>
      </c>
      <c r="C40" s="6">
        <v>328</v>
      </c>
      <c r="D40" s="9">
        <f t="shared" si="0"/>
        <v>833.00617283950612</v>
      </c>
      <c r="E40" s="13">
        <v>12384</v>
      </c>
      <c r="F40" s="14">
        <f t="shared" si="1"/>
        <v>9.0864224540070967E-2</v>
      </c>
      <c r="G40" s="10"/>
    </row>
    <row r="41" spans="1:18" x14ac:dyDescent="0.25">
      <c r="A41" s="4">
        <v>45509</v>
      </c>
      <c r="B41" s="5" t="s">
        <v>6</v>
      </c>
      <c r="C41" s="6">
        <v>319</v>
      </c>
      <c r="D41" s="9">
        <f t="shared" si="0"/>
        <v>836.14285714285711</v>
      </c>
      <c r="E41" s="13">
        <v>49372</v>
      </c>
      <c r="F41" s="14">
        <f t="shared" si="1"/>
        <v>8.6652444907197076E-2</v>
      </c>
      <c r="G41" s="10"/>
    </row>
    <row r="42" spans="1:18" x14ac:dyDescent="0.25">
      <c r="A42" s="4">
        <v>45516</v>
      </c>
      <c r="B42" s="5" t="s">
        <v>3</v>
      </c>
      <c r="C42" s="6">
        <v>1325</v>
      </c>
      <c r="D42" s="9">
        <f t="shared" si="0"/>
        <v>839.375</v>
      </c>
      <c r="E42" s="13">
        <v>47101</v>
      </c>
      <c r="F42" s="14">
        <f t="shared" si="1"/>
        <v>9.7383850529182928E-2</v>
      </c>
      <c r="G42" s="10"/>
    </row>
    <row r="43" spans="1:18" x14ac:dyDescent="0.25">
      <c r="A43" s="4">
        <v>45516</v>
      </c>
      <c r="B43" s="5" t="s">
        <v>4</v>
      </c>
      <c r="C43" s="6">
        <v>1334</v>
      </c>
      <c r="D43" s="9">
        <f t="shared" si="0"/>
        <v>836.32075471698113</v>
      </c>
      <c r="E43" s="13">
        <v>37903</v>
      </c>
      <c r="F43" s="14">
        <f t="shared" si="1"/>
        <v>8.9996353505138418E-2</v>
      </c>
      <c r="G43" s="10"/>
    </row>
    <row r="44" spans="1:18" x14ac:dyDescent="0.25">
      <c r="A44" s="4">
        <v>45516</v>
      </c>
      <c r="B44" s="5" t="s">
        <v>5</v>
      </c>
      <c r="C44" s="6">
        <v>37</v>
      </c>
      <c r="D44" s="9">
        <f t="shared" si="0"/>
        <v>833.1708860759494</v>
      </c>
      <c r="E44" s="13">
        <v>33258</v>
      </c>
      <c r="F44" s="14">
        <f t="shared" si="1"/>
        <v>8.5288282282407021E-2</v>
      </c>
      <c r="G44" s="10"/>
    </row>
    <row r="45" spans="1:18" x14ac:dyDescent="0.25">
      <c r="A45" s="4">
        <v>45516</v>
      </c>
      <c r="B45" s="5" t="s">
        <v>6</v>
      </c>
      <c r="C45" s="6">
        <v>1032</v>
      </c>
      <c r="D45" s="9">
        <f t="shared" si="0"/>
        <v>838.24203821656056</v>
      </c>
      <c r="E45" s="13">
        <v>6915</v>
      </c>
      <c r="F45" s="14">
        <f t="shared" si="1"/>
        <v>9.1422410059380718E-2</v>
      </c>
      <c r="G45" s="10"/>
    </row>
    <row r="46" spans="1:18" x14ac:dyDescent="0.25">
      <c r="A46" s="4">
        <v>45523</v>
      </c>
      <c r="B46" s="5" t="s">
        <v>3</v>
      </c>
      <c r="C46" s="6">
        <v>76</v>
      </c>
      <c r="D46" s="9">
        <f t="shared" si="0"/>
        <v>837</v>
      </c>
      <c r="E46" s="13">
        <v>35501</v>
      </c>
      <c r="F46" s="14">
        <f t="shared" si="1"/>
        <v>9.4530640726689999E-2</v>
      </c>
      <c r="G46" s="10"/>
    </row>
    <row r="47" spans="1:18" x14ac:dyDescent="0.25">
      <c r="A47" s="4">
        <v>45523</v>
      </c>
      <c r="B47" s="5" t="s">
        <v>4</v>
      </c>
      <c r="C47" s="6">
        <v>1058</v>
      </c>
      <c r="D47" s="9">
        <f t="shared" si="0"/>
        <v>841.90967741935481</v>
      </c>
      <c r="E47" s="13">
        <v>14203</v>
      </c>
      <c r="F47" s="14">
        <f t="shared" si="1"/>
        <v>0.10189352868599115</v>
      </c>
      <c r="G47" s="10"/>
    </row>
    <row r="48" spans="1:18" x14ac:dyDescent="0.25">
      <c r="A48" s="4">
        <v>45523</v>
      </c>
      <c r="B48" s="5" t="s">
        <v>5</v>
      </c>
      <c r="C48" s="6">
        <v>1665</v>
      </c>
      <c r="D48" s="9">
        <f t="shared" si="0"/>
        <v>840.50649350649348</v>
      </c>
      <c r="E48" s="13">
        <v>22206</v>
      </c>
      <c r="F48" s="14">
        <f t="shared" si="1"/>
        <v>0.10382976052966604</v>
      </c>
      <c r="G48" s="10"/>
    </row>
    <row r="49" spans="1:7" x14ac:dyDescent="0.25">
      <c r="A49" s="4">
        <v>45523</v>
      </c>
      <c r="B49" s="5" t="s">
        <v>6</v>
      </c>
      <c r="C49" s="6">
        <v>190</v>
      </c>
      <c r="D49" s="9">
        <f t="shared" si="0"/>
        <v>835.11764705882354</v>
      </c>
      <c r="E49" s="13">
        <v>10283</v>
      </c>
      <c r="F49" s="14">
        <f t="shared" si="1"/>
        <v>0.10591204685716972</v>
      </c>
      <c r="G49" s="10"/>
    </row>
    <row r="50" spans="1:7" x14ac:dyDescent="0.25">
      <c r="A50" s="4">
        <v>45530</v>
      </c>
      <c r="B50" s="5" t="s">
        <v>3</v>
      </c>
      <c r="C50" s="6">
        <v>1609</v>
      </c>
      <c r="D50" s="9">
        <f t="shared" si="0"/>
        <v>839.36184210526312</v>
      </c>
      <c r="E50" s="13">
        <v>24913</v>
      </c>
      <c r="F50" s="14">
        <f t="shared" si="1"/>
        <v>9.9420124475204555E-2</v>
      </c>
      <c r="G50" s="10"/>
    </row>
    <row r="51" spans="1:7" x14ac:dyDescent="0.25">
      <c r="A51" s="4">
        <v>45530</v>
      </c>
      <c r="B51" s="5" t="s">
        <v>4</v>
      </c>
      <c r="C51" s="6">
        <v>37</v>
      </c>
      <c r="D51" s="9">
        <f t="shared" si="0"/>
        <v>834.26490066225165</v>
      </c>
      <c r="E51" s="13">
        <v>26925</v>
      </c>
      <c r="F51" s="14">
        <f t="shared" si="1"/>
        <v>9.9711281564714122E-2</v>
      </c>
      <c r="G51" s="10"/>
    </row>
    <row r="52" spans="1:7" x14ac:dyDescent="0.25">
      <c r="A52" s="4">
        <v>45530</v>
      </c>
      <c r="B52" s="5" t="s">
        <v>5</v>
      </c>
      <c r="C52" s="6">
        <v>1229</v>
      </c>
      <c r="D52" s="9">
        <f t="shared" si="0"/>
        <v>839.58</v>
      </c>
      <c r="E52" s="13">
        <v>9942</v>
      </c>
      <c r="F52" s="14">
        <f t="shared" si="1"/>
        <v>0.1019201429326354</v>
      </c>
      <c r="G52" s="10"/>
    </row>
    <row r="53" spans="1:7" x14ac:dyDescent="0.25">
      <c r="A53" s="4">
        <v>45530</v>
      </c>
      <c r="B53" s="5" t="s">
        <v>6</v>
      </c>
      <c r="C53" s="6">
        <v>28</v>
      </c>
      <c r="D53" s="9">
        <f t="shared" si="0"/>
        <v>836.96644295302008</v>
      </c>
      <c r="E53" s="13">
        <v>32929</v>
      </c>
      <c r="F53" s="14">
        <f t="shared" si="1"/>
        <v>0.10702524279792508</v>
      </c>
      <c r="G53" s="10"/>
    </row>
    <row r="54" spans="1:7" x14ac:dyDescent="0.25">
      <c r="A54" s="4">
        <v>45537</v>
      </c>
      <c r="B54" s="5" t="s">
        <v>3</v>
      </c>
      <c r="C54" s="6">
        <v>1247</v>
      </c>
      <c r="D54" s="9">
        <f t="shared" si="0"/>
        <v>842.43243243243239</v>
      </c>
      <c r="E54" s="13">
        <v>37829</v>
      </c>
      <c r="F54" s="14">
        <f t="shared" si="1"/>
        <v>0.11339501214630174</v>
      </c>
      <c r="G54" s="10"/>
    </row>
    <row r="55" spans="1:7" x14ac:dyDescent="0.25">
      <c r="A55" s="4">
        <v>45537</v>
      </c>
      <c r="B55" s="5" t="s">
        <v>4</v>
      </c>
      <c r="C55" s="6">
        <v>1045</v>
      </c>
      <c r="D55" s="9">
        <f t="shared" si="0"/>
        <v>839.6802721088435</v>
      </c>
      <c r="E55" s="13">
        <v>24384</v>
      </c>
      <c r="F55" s="14">
        <f t="shared" si="1"/>
        <v>0.10948396868914069</v>
      </c>
      <c r="G55" s="10"/>
    </row>
    <row r="56" spans="1:7" x14ac:dyDescent="0.25">
      <c r="A56" s="4">
        <v>45537</v>
      </c>
      <c r="B56" s="5" t="s">
        <v>5</v>
      </c>
      <c r="C56" s="6">
        <v>197</v>
      </c>
      <c r="D56" s="9">
        <f t="shared" si="0"/>
        <v>838.27397260273972</v>
      </c>
      <c r="E56" s="13">
        <v>25797</v>
      </c>
      <c r="F56" s="14">
        <f t="shared" si="1"/>
        <v>0.10953271480807934</v>
      </c>
      <c r="G56" s="10"/>
    </row>
    <row r="57" spans="1:7" x14ac:dyDescent="0.25">
      <c r="A57" s="4">
        <v>45537</v>
      </c>
      <c r="B57" s="5" t="s">
        <v>6</v>
      </c>
      <c r="C57" s="6">
        <v>333</v>
      </c>
      <c r="D57" s="9">
        <f t="shared" si="0"/>
        <v>842.69655172413798</v>
      </c>
      <c r="E57" s="13">
        <v>12646</v>
      </c>
      <c r="F57" s="14">
        <f t="shared" si="1"/>
        <v>0.11072594811727887</v>
      </c>
      <c r="G57" s="10"/>
    </row>
    <row r="58" spans="1:7" x14ac:dyDescent="0.25">
      <c r="A58" s="4">
        <v>45544</v>
      </c>
      <c r="B58" s="5" t="s">
        <v>3</v>
      </c>
      <c r="C58" s="6">
        <v>1572</v>
      </c>
      <c r="D58" s="9">
        <f t="shared" si="0"/>
        <v>846.23611111111109</v>
      </c>
      <c r="E58" s="13">
        <v>26663</v>
      </c>
      <c r="F58" s="14">
        <f t="shared" si="1"/>
        <v>0.10630398813271696</v>
      </c>
      <c r="G58" s="10"/>
    </row>
    <row r="59" spans="1:7" x14ac:dyDescent="0.25">
      <c r="A59" s="4">
        <v>45544</v>
      </c>
      <c r="B59" s="5" t="s">
        <v>4</v>
      </c>
      <c r="C59" s="6">
        <v>1428</v>
      </c>
      <c r="D59" s="9">
        <f t="shared" si="0"/>
        <v>841.16083916083915</v>
      </c>
      <c r="E59" s="13">
        <v>40478</v>
      </c>
      <c r="F59" s="14">
        <f t="shared" si="1"/>
        <v>0.10555341100813151</v>
      </c>
      <c r="G59" s="10"/>
    </row>
    <row r="60" spans="1:7" x14ac:dyDescent="0.25">
      <c r="A60" s="4">
        <v>45544</v>
      </c>
      <c r="B60" s="5" t="s">
        <v>5</v>
      </c>
      <c r="C60" s="6">
        <v>260</v>
      </c>
      <c r="D60" s="9">
        <f t="shared" si="0"/>
        <v>837.02816901408448</v>
      </c>
      <c r="E60" s="13">
        <v>15476</v>
      </c>
      <c r="F60" s="14">
        <f t="shared" si="1"/>
        <v>9.8479143799347968E-2</v>
      </c>
      <c r="G60" s="10"/>
    </row>
    <row r="61" spans="1:7" x14ac:dyDescent="0.25">
      <c r="A61" s="4">
        <v>45544</v>
      </c>
      <c r="B61" s="5" t="s">
        <v>6</v>
      </c>
      <c r="C61" s="6">
        <v>1100</v>
      </c>
      <c r="D61" s="9">
        <f t="shared" si="0"/>
        <v>841.12056737588648</v>
      </c>
      <c r="E61" s="13">
        <v>10217</v>
      </c>
      <c r="F61" s="14">
        <f t="shared" si="1"/>
        <v>9.4621643710093489E-2</v>
      </c>
      <c r="G61" s="10"/>
    </row>
    <row r="62" spans="1:7" x14ac:dyDescent="0.25">
      <c r="A62" s="4">
        <v>45551</v>
      </c>
      <c r="B62" s="5" t="s">
        <v>3</v>
      </c>
      <c r="C62" s="6">
        <v>377</v>
      </c>
      <c r="D62" s="9">
        <f t="shared" si="0"/>
        <v>839.2714285714286</v>
      </c>
      <c r="E62" s="13">
        <v>21939</v>
      </c>
      <c r="F62" s="14">
        <f t="shared" si="1"/>
        <v>9.8141149586493254E-2</v>
      </c>
      <c r="G62" s="10"/>
    </row>
    <row r="63" spans="1:7" x14ac:dyDescent="0.25">
      <c r="A63" s="4">
        <v>45551</v>
      </c>
      <c r="B63" s="5" t="s">
        <v>4</v>
      </c>
      <c r="C63" s="6">
        <v>98</v>
      </c>
      <c r="D63" s="9">
        <f t="shared" si="0"/>
        <v>842.59712230215825</v>
      </c>
      <c r="E63" s="13">
        <v>47462</v>
      </c>
      <c r="F63" s="14">
        <f t="shared" si="1"/>
        <v>9.7357799472583703E-2</v>
      </c>
      <c r="G63" s="10"/>
    </row>
    <row r="64" spans="1:7" x14ac:dyDescent="0.25">
      <c r="A64" s="4">
        <v>45551</v>
      </c>
      <c r="B64" s="5" t="s">
        <v>5</v>
      </c>
      <c r="C64" s="6">
        <v>1125</v>
      </c>
      <c r="D64" s="9">
        <f t="shared" si="0"/>
        <v>847.99275362318838</v>
      </c>
      <c r="E64" s="13">
        <v>30270</v>
      </c>
      <c r="F64" s="14">
        <f t="shared" si="1"/>
        <v>0.11360043288207008</v>
      </c>
      <c r="G64" s="10"/>
    </row>
    <row r="65" spans="1:7" x14ac:dyDescent="0.25">
      <c r="A65" s="4">
        <v>45551</v>
      </c>
      <c r="B65" s="5" t="s">
        <v>6</v>
      </c>
      <c r="C65" s="6">
        <v>-32</v>
      </c>
      <c r="D65" s="9">
        <f t="shared" si="0"/>
        <v>845.97080291970804</v>
      </c>
      <c r="E65" s="13">
        <v>5442</v>
      </c>
      <c r="F65" s="14">
        <f t="shared" si="1"/>
        <v>0.1123456380162423</v>
      </c>
      <c r="G65" s="10"/>
    </row>
    <row r="66" spans="1:7" x14ac:dyDescent="0.25">
      <c r="A66" s="4">
        <v>45558</v>
      </c>
      <c r="B66" s="5" t="s">
        <v>3</v>
      </c>
      <c r="C66" s="6">
        <v>666</v>
      </c>
      <c r="D66" s="9">
        <f t="shared" si="0"/>
        <v>852.42647058823525</v>
      </c>
      <c r="E66" s="13">
        <v>1083</v>
      </c>
      <c r="F66" s="14">
        <f t="shared" si="1"/>
        <v>9.943165498363396E-2</v>
      </c>
      <c r="G66" s="10"/>
    </row>
    <row r="67" spans="1:7" x14ac:dyDescent="0.25">
      <c r="A67" s="4">
        <v>45558</v>
      </c>
      <c r="B67" s="5" t="s">
        <v>4</v>
      </c>
      <c r="C67" s="6">
        <v>-19</v>
      </c>
      <c r="D67" s="9">
        <f t="shared" ref="D67:D130" si="2">AVERAGE(C67:C266)</f>
        <v>853.80740740740737</v>
      </c>
      <c r="E67" s="13">
        <v>11901</v>
      </c>
      <c r="F67" s="14">
        <f t="shared" ref="F67:F130" si="3">CORREL(C67:C266,E67:E266)</f>
        <v>9.6596103526112503E-2</v>
      </c>
      <c r="G67" s="10"/>
    </row>
    <row r="68" spans="1:7" x14ac:dyDescent="0.25">
      <c r="A68" s="4">
        <v>45558</v>
      </c>
      <c r="B68" s="5" t="s">
        <v>5</v>
      </c>
      <c r="C68" s="6">
        <v>1680</v>
      </c>
      <c r="D68" s="9">
        <f t="shared" si="2"/>
        <v>860.32089552238801</v>
      </c>
      <c r="E68" s="13">
        <v>24018</v>
      </c>
      <c r="F68" s="14">
        <f t="shared" si="3"/>
        <v>8.7708839061590479E-2</v>
      </c>
      <c r="G68" s="10"/>
    </row>
    <row r="69" spans="1:7" x14ac:dyDescent="0.25">
      <c r="A69" s="4">
        <v>45558</v>
      </c>
      <c r="B69" s="5" t="s">
        <v>6</v>
      </c>
      <c r="C69" s="6">
        <v>1006</v>
      </c>
      <c r="D69" s="9">
        <f t="shared" si="2"/>
        <v>854.15789473684208</v>
      </c>
      <c r="E69" s="13">
        <v>38883</v>
      </c>
      <c r="F69" s="14">
        <f t="shared" si="3"/>
        <v>8.8882294019177605E-2</v>
      </c>
      <c r="G69" s="10"/>
    </row>
    <row r="70" spans="1:7" x14ac:dyDescent="0.25">
      <c r="A70" s="4">
        <v>45565</v>
      </c>
      <c r="B70" s="5" t="s">
        <v>3</v>
      </c>
      <c r="C70" s="6">
        <v>1025</v>
      </c>
      <c r="D70" s="9">
        <f t="shared" si="2"/>
        <v>853.00757575757575</v>
      </c>
      <c r="E70" s="13">
        <v>30575</v>
      </c>
      <c r="F70" s="14">
        <f t="shared" si="3"/>
        <v>8.7285176955106999E-2</v>
      </c>
      <c r="G70" s="10"/>
    </row>
    <row r="71" spans="1:7" x14ac:dyDescent="0.25">
      <c r="A71" s="4">
        <v>45565</v>
      </c>
      <c r="B71" s="5" t="s">
        <v>4</v>
      </c>
      <c r="C71" s="6">
        <v>-179</v>
      </c>
      <c r="D71" s="9">
        <f t="shared" si="2"/>
        <v>851.69465648854964</v>
      </c>
      <c r="E71" s="13">
        <v>2315</v>
      </c>
      <c r="F71" s="14">
        <f t="shared" si="3"/>
        <v>8.6440903934551991E-2</v>
      </c>
      <c r="G71" s="10"/>
    </row>
    <row r="72" spans="1:7" x14ac:dyDescent="0.25">
      <c r="A72" s="4">
        <v>45565</v>
      </c>
      <c r="B72" s="5" t="s">
        <v>5</v>
      </c>
      <c r="C72" s="6">
        <v>599</v>
      </c>
      <c r="D72" s="9">
        <f t="shared" si="2"/>
        <v>859.62307692307695</v>
      </c>
      <c r="E72" s="13">
        <v>12148</v>
      </c>
      <c r="F72" s="14">
        <f t="shared" si="3"/>
        <v>6.6983984864553994E-2</v>
      </c>
      <c r="G72" s="10"/>
    </row>
    <row r="73" spans="1:7" x14ac:dyDescent="0.25">
      <c r="A73" s="4">
        <v>45565</v>
      </c>
      <c r="B73" s="5" t="s">
        <v>6</v>
      </c>
      <c r="C73" s="6">
        <v>1706</v>
      </c>
      <c r="D73" s="9">
        <f t="shared" si="2"/>
        <v>861.64341085271315</v>
      </c>
      <c r="E73" s="13">
        <v>36851</v>
      </c>
      <c r="F73" s="14">
        <f t="shared" si="3"/>
        <v>6.4177201273980924E-2</v>
      </c>
      <c r="G73" s="10"/>
    </row>
    <row r="74" spans="1:7" x14ac:dyDescent="0.25">
      <c r="A74" s="4">
        <v>45572</v>
      </c>
      <c r="B74" s="5" t="s">
        <v>3</v>
      </c>
      <c r="C74" s="6">
        <v>1872</v>
      </c>
      <c r="D74" s="9">
        <f t="shared" si="2"/>
        <v>855.046875</v>
      </c>
      <c r="E74" s="13">
        <v>41215</v>
      </c>
      <c r="F74" s="14">
        <f t="shared" si="3"/>
        <v>5.5327503137263791E-2</v>
      </c>
      <c r="G74" s="10"/>
    </row>
    <row r="75" spans="1:7" x14ac:dyDescent="0.25">
      <c r="A75" s="4">
        <v>45572</v>
      </c>
      <c r="B75" s="5" t="s">
        <v>4</v>
      </c>
      <c r="C75" s="6">
        <v>1662</v>
      </c>
      <c r="D75" s="9">
        <f t="shared" si="2"/>
        <v>847.03937007874015</v>
      </c>
      <c r="E75" s="13">
        <v>43836</v>
      </c>
      <c r="F75" s="14">
        <f t="shared" si="3"/>
        <v>4.0236573343485987E-2</v>
      </c>
      <c r="G75" s="10"/>
    </row>
    <row r="76" spans="1:7" x14ac:dyDescent="0.25">
      <c r="A76" s="4">
        <v>45572</v>
      </c>
      <c r="B76" s="5" t="s">
        <v>5</v>
      </c>
      <c r="C76" s="6">
        <v>107</v>
      </c>
      <c r="D76" s="9">
        <f t="shared" si="2"/>
        <v>840.57142857142856</v>
      </c>
      <c r="E76" s="13">
        <v>4509</v>
      </c>
      <c r="F76" s="14">
        <f t="shared" si="3"/>
        <v>2.5602621216119715E-2</v>
      </c>
      <c r="G76" s="10"/>
    </row>
    <row r="77" spans="1:7" x14ac:dyDescent="0.25">
      <c r="A77" s="4">
        <v>45572</v>
      </c>
      <c r="B77" s="5" t="s">
        <v>6</v>
      </c>
      <c r="C77" s="6">
        <v>118</v>
      </c>
      <c r="D77" s="9">
        <f t="shared" si="2"/>
        <v>846.44</v>
      </c>
      <c r="E77" s="13">
        <v>27822</v>
      </c>
      <c r="F77" s="14">
        <f t="shared" si="3"/>
        <v>1.150528355060969E-2</v>
      </c>
      <c r="G77" s="10"/>
    </row>
    <row r="78" spans="1:7" x14ac:dyDescent="0.25">
      <c r="A78" s="4">
        <v>45579</v>
      </c>
      <c r="B78" s="5" t="s">
        <v>3</v>
      </c>
      <c r="C78" s="6">
        <v>1224</v>
      </c>
      <c r="D78" s="9">
        <f t="shared" si="2"/>
        <v>852.31451612903231</v>
      </c>
      <c r="E78" s="13">
        <v>36397</v>
      </c>
      <c r="F78" s="14">
        <f t="shared" si="3"/>
        <v>1.3894789843263937E-2</v>
      </c>
      <c r="G78" s="10"/>
    </row>
    <row r="79" spans="1:7" x14ac:dyDescent="0.25">
      <c r="A79" s="4">
        <v>45579</v>
      </c>
      <c r="B79" s="5" t="s">
        <v>4</v>
      </c>
      <c r="C79" s="6">
        <v>285</v>
      </c>
      <c r="D79" s="9">
        <f t="shared" si="2"/>
        <v>849.29268292682923</v>
      </c>
      <c r="E79" s="13">
        <v>7285</v>
      </c>
      <c r="F79" s="14">
        <f t="shared" si="3"/>
        <v>9.5776004194600868E-3</v>
      </c>
      <c r="G79" s="10"/>
    </row>
    <row r="80" spans="1:7" x14ac:dyDescent="0.25">
      <c r="A80" s="4">
        <v>45579</v>
      </c>
      <c r="B80" s="5" t="s">
        <v>5</v>
      </c>
      <c r="C80" s="6">
        <v>-20</v>
      </c>
      <c r="D80" s="9">
        <f t="shared" si="2"/>
        <v>853.91803278688519</v>
      </c>
      <c r="E80" s="13">
        <v>33174</v>
      </c>
      <c r="F80" s="14">
        <f t="shared" si="3"/>
        <v>-1.3789302611630491E-4</v>
      </c>
      <c r="G80" s="10"/>
    </row>
    <row r="81" spans="1:7" x14ac:dyDescent="0.25">
      <c r="A81" s="4">
        <v>45579</v>
      </c>
      <c r="B81" s="5" t="s">
        <v>6</v>
      </c>
      <c r="C81" s="6">
        <v>367</v>
      </c>
      <c r="D81" s="9">
        <f t="shared" si="2"/>
        <v>861.14049586776855</v>
      </c>
      <c r="E81" s="13">
        <v>6742</v>
      </c>
      <c r="F81" s="14">
        <f t="shared" si="3"/>
        <v>7.4639475062295438E-3</v>
      </c>
      <c r="G81" s="10"/>
    </row>
    <row r="82" spans="1:7" x14ac:dyDescent="0.25">
      <c r="A82" s="4">
        <v>45586</v>
      </c>
      <c r="B82" s="5" t="s">
        <v>3</v>
      </c>
      <c r="C82" s="6">
        <v>262</v>
      </c>
      <c r="D82" s="9">
        <f t="shared" si="2"/>
        <v>865.25833333333333</v>
      </c>
      <c r="E82" s="13">
        <v>32478</v>
      </c>
      <c r="F82" s="14">
        <f t="shared" si="3"/>
        <v>-1.5493859671186308E-3</v>
      </c>
      <c r="G82" s="10"/>
    </row>
    <row r="83" spans="1:7" x14ac:dyDescent="0.25">
      <c r="A83" s="4">
        <v>45586</v>
      </c>
      <c r="B83" s="5" t="s">
        <v>4</v>
      </c>
      <c r="C83" s="6">
        <v>439</v>
      </c>
      <c r="D83" s="9">
        <f t="shared" si="2"/>
        <v>870.32773109243692</v>
      </c>
      <c r="E83" s="13">
        <v>42824</v>
      </c>
      <c r="F83" s="14">
        <f t="shared" si="3"/>
        <v>3.2889183939969996E-3</v>
      </c>
      <c r="G83" s="10"/>
    </row>
    <row r="84" spans="1:7" x14ac:dyDescent="0.25">
      <c r="A84" s="4">
        <v>45586</v>
      </c>
      <c r="B84" s="5" t="s">
        <v>5</v>
      </c>
      <c r="C84" s="6">
        <v>636</v>
      </c>
      <c r="D84" s="9">
        <f t="shared" si="2"/>
        <v>873.98305084745766</v>
      </c>
      <c r="E84" s="13">
        <v>21208</v>
      </c>
      <c r="F84" s="14">
        <f t="shared" si="3"/>
        <v>1.1519047997339507E-2</v>
      </c>
      <c r="G84" s="10"/>
    </row>
    <row r="85" spans="1:7" x14ac:dyDescent="0.25">
      <c r="A85" s="4">
        <v>45586</v>
      </c>
      <c r="B85" s="5" t="s">
        <v>6</v>
      </c>
      <c r="C85" s="6">
        <v>1484</v>
      </c>
      <c r="D85" s="9">
        <f t="shared" si="2"/>
        <v>876.017094017094</v>
      </c>
      <c r="E85" s="13">
        <v>44321</v>
      </c>
      <c r="F85" s="14">
        <f t="shared" si="3"/>
        <v>1.0706754858124539E-2</v>
      </c>
      <c r="G85" s="10"/>
    </row>
    <row r="86" spans="1:7" x14ac:dyDescent="0.25">
      <c r="A86" s="4">
        <v>45593</v>
      </c>
      <c r="B86" s="5" t="s">
        <v>3</v>
      </c>
      <c r="C86" s="6">
        <v>576</v>
      </c>
      <c r="D86" s="9">
        <f t="shared" si="2"/>
        <v>870.77586206896547</v>
      </c>
      <c r="E86" s="13">
        <v>13116</v>
      </c>
      <c r="F86" s="14">
        <f t="shared" si="3"/>
        <v>-1.9224958240335057E-3</v>
      </c>
      <c r="G86" s="10"/>
    </row>
    <row r="87" spans="1:7" x14ac:dyDescent="0.25">
      <c r="A87" s="4">
        <v>45593</v>
      </c>
      <c r="B87" s="5" t="s">
        <v>4</v>
      </c>
      <c r="C87" s="6">
        <v>386</v>
      </c>
      <c r="D87" s="9">
        <f t="shared" si="2"/>
        <v>873.33913043478265</v>
      </c>
      <c r="E87" s="13">
        <v>30214</v>
      </c>
      <c r="F87" s="14">
        <f t="shared" si="3"/>
        <v>-5.4656297459235812E-3</v>
      </c>
      <c r="G87" s="10"/>
    </row>
    <row r="88" spans="1:7" x14ac:dyDescent="0.25">
      <c r="A88" s="4">
        <v>45593</v>
      </c>
      <c r="B88" s="5" t="s">
        <v>5</v>
      </c>
      <c r="C88" s="6">
        <v>37</v>
      </c>
      <c r="D88" s="9">
        <f t="shared" si="2"/>
        <v>877.61403508771934</v>
      </c>
      <c r="E88" s="13">
        <v>15827</v>
      </c>
      <c r="F88" s="14">
        <f t="shared" si="3"/>
        <v>-2.4885219914872769E-3</v>
      </c>
      <c r="G88" s="10"/>
    </row>
    <row r="89" spans="1:7" x14ac:dyDescent="0.25">
      <c r="A89" s="4">
        <v>45593</v>
      </c>
      <c r="B89" s="5" t="s">
        <v>6</v>
      </c>
      <c r="C89" s="6">
        <v>1657</v>
      </c>
      <c r="D89" s="9">
        <f t="shared" si="2"/>
        <v>885.05309734513276</v>
      </c>
      <c r="E89" s="13">
        <v>46643</v>
      </c>
      <c r="F89" s="14">
        <f t="shared" si="3"/>
        <v>-1.032847209385284E-2</v>
      </c>
      <c r="G89" s="10"/>
    </row>
    <row r="90" spans="1:7" x14ac:dyDescent="0.25">
      <c r="A90" s="4">
        <v>45600</v>
      </c>
      <c r="B90" s="5" t="s">
        <v>3</v>
      </c>
      <c r="C90" s="6">
        <v>1397</v>
      </c>
      <c r="D90" s="9">
        <f t="shared" si="2"/>
        <v>878.16071428571433</v>
      </c>
      <c r="E90" s="13">
        <v>36484</v>
      </c>
      <c r="F90" s="14">
        <f t="shared" si="3"/>
        <v>-2.9384367282102367E-2</v>
      </c>
      <c r="G90" s="10"/>
    </row>
    <row r="91" spans="1:7" x14ac:dyDescent="0.25">
      <c r="A91" s="4">
        <v>45600</v>
      </c>
      <c r="B91" s="5" t="s">
        <v>4</v>
      </c>
      <c r="C91" s="6">
        <v>540</v>
      </c>
      <c r="D91" s="9">
        <f t="shared" si="2"/>
        <v>873.48648648648646</v>
      </c>
      <c r="E91" s="13">
        <v>4996</v>
      </c>
      <c r="F91" s="14">
        <f t="shared" si="3"/>
        <v>-3.6616399709179064E-2</v>
      </c>
      <c r="G91" s="10"/>
    </row>
    <row r="92" spans="1:7" x14ac:dyDescent="0.25">
      <c r="A92" s="4">
        <v>45600</v>
      </c>
      <c r="B92" s="5" t="s">
        <v>5</v>
      </c>
      <c r="C92" s="6">
        <v>1603</v>
      </c>
      <c r="D92" s="9">
        <f t="shared" si="2"/>
        <v>876.5181818181818</v>
      </c>
      <c r="E92" s="13">
        <v>36095</v>
      </c>
      <c r="F92" s="14">
        <f t="shared" si="3"/>
        <v>-4.4156433611150896E-2</v>
      </c>
      <c r="G92" s="10"/>
    </row>
    <row r="93" spans="1:7" x14ac:dyDescent="0.25">
      <c r="A93" s="4">
        <v>45600</v>
      </c>
      <c r="B93" s="5" t="s">
        <v>6</v>
      </c>
      <c r="C93" s="6">
        <v>1044</v>
      </c>
      <c r="D93" s="9">
        <f t="shared" si="2"/>
        <v>869.85321100917429</v>
      </c>
      <c r="E93" s="13">
        <v>16443</v>
      </c>
      <c r="F93" s="14">
        <f t="shared" si="3"/>
        <v>-5.4289476551247016E-2</v>
      </c>
      <c r="G93" s="10"/>
    </row>
    <row r="94" spans="1:7" x14ac:dyDescent="0.25">
      <c r="A94" s="4">
        <v>45607</v>
      </c>
      <c r="B94" s="5" t="s">
        <v>3</v>
      </c>
      <c r="C94" s="6">
        <v>902</v>
      </c>
      <c r="D94" s="9">
        <f t="shared" si="2"/>
        <v>868.24074074074076</v>
      </c>
      <c r="E94" s="13">
        <v>47812</v>
      </c>
      <c r="F94" s="14">
        <f t="shared" si="3"/>
        <v>-5.2844190374846681E-2</v>
      </c>
      <c r="G94" s="10"/>
    </row>
    <row r="95" spans="1:7" x14ac:dyDescent="0.25">
      <c r="A95" s="4">
        <v>45607</v>
      </c>
      <c r="B95" s="5" t="s">
        <v>4</v>
      </c>
      <c r="C95" s="6">
        <v>-106</v>
      </c>
      <c r="D95" s="9">
        <f t="shared" si="2"/>
        <v>867.92523364485976</v>
      </c>
      <c r="E95" s="13">
        <v>38452</v>
      </c>
      <c r="F95" s="14">
        <f t="shared" si="3"/>
        <v>-5.4439682175440707E-2</v>
      </c>
      <c r="G95" s="10"/>
    </row>
    <row r="96" spans="1:7" x14ac:dyDescent="0.25">
      <c r="A96" s="4">
        <v>45607</v>
      </c>
      <c r="B96" s="5" t="s">
        <v>5</v>
      </c>
      <c r="C96" s="6">
        <v>1150</v>
      </c>
      <c r="D96" s="9">
        <f t="shared" si="2"/>
        <v>877.11320754716985</v>
      </c>
      <c r="E96" s="13">
        <v>30428</v>
      </c>
      <c r="F96" s="14">
        <f t="shared" si="3"/>
        <v>-3.906974683359371E-2</v>
      </c>
      <c r="G96" s="10"/>
    </row>
    <row r="97" spans="1:7" x14ac:dyDescent="0.25">
      <c r="A97" s="4">
        <v>45607</v>
      </c>
      <c r="B97" s="5" t="s">
        <v>6</v>
      </c>
      <c r="C97" s="6">
        <v>349</v>
      </c>
      <c r="D97" s="9">
        <f t="shared" si="2"/>
        <v>874.51428571428573</v>
      </c>
      <c r="E97" s="13">
        <v>9269</v>
      </c>
      <c r="F97" s="14">
        <f t="shared" si="3"/>
        <v>-4.1221587797489592E-2</v>
      </c>
      <c r="G97" s="10"/>
    </row>
    <row r="98" spans="1:7" x14ac:dyDescent="0.25">
      <c r="A98" s="4">
        <v>45614</v>
      </c>
      <c r="B98" s="5" t="s">
        <v>3</v>
      </c>
      <c r="C98" s="6">
        <v>-49</v>
      </c>
      <c r="D98" s="9">
        <f t="shared" si="2"/>
        <v>879.56730769230774</v>
      </c>
      <c r="E98" s="13">
        <v>29533</v>
      </c>
      <c r="F98" s="14">
        <f t="shared" si="3"/>
        <v>-5.0719587748182089E-2</v>
      </c>
      <c r="G98" s="10"/>
    </row>
    <row r="99" spans="1:7" x14ac:dyDescent="0.25">
      <c r="A99" s="4">
        <v>45614</v>
      </c>
      <c r="B99" s="5" t="s">
        <v>4</v>
      </c>
      <c r="C99" s="6">
        <v>72</v>
      </c>
      <c r="D99" s="9">
        <f t="shared" si="2"/>
        <v>888.5825242718447</v>
      </c>
      <c r="E99" s="13">
        <v>39997</v>
      </c>
      <c r="F99" s="14">
        <f t="shared" si="3"/>
        <v>-4.5285403886872133E-2</v>
      </c>
      <c r="G99" s="10"/>
    </row>
    <row r="100" spans="1:7" x14ac:dyDescent="0.25">
      <c r="A100" s="4">
        <v>45614</v>
      </c>
      <c r="B100" s="5" t="s">
        <v>5</v>
      </c>
      <c r="C100" s="6">
        <v>445</v>
      </c>
      <c r="D100" s="9">
        <f t="shared" si="2"/>
        <v>896.58823529411768</v>
      </c>
      <c r="E100" s="13">
        <v>5391</v>
      </c>
      <c r="F100" s="14">
        <f t="shared" si="3"/>
        <v>-3.0065484737233191E-2</v>
      </c>
      <c r="G100" s="10"/>
    </row>
    <row r="101" spans="1:7" x14ac:dyDescent="0.25">
      <c r="A101" s="4">
        <v>45614</v>
      </c>
      <c r="B101" s="5" t="s">
        <v>6</v>
      </c>
      <c r="C101" s="6">
        <v>60</v>
      </c>
      <c r="D101" s="9">
        <f t="shared" si="2"/>
        <v>901.05940594059405</v>
      </c>
      <c r="E101" s="13">
        <v>22373</v>
      </c>
      <c r="F101" s="14">
        <f t="shared" si="3"/>
        <v>-4.0707892053210411E-2</v>
      </c>
      <c r="G101" s="10"/>
    </row>
    <row r="102" spans="1:7" x14ac:dyDescent="0.25">
      <c r="A102" s="4">
        <v>45621</v>
      </c>
      <c r="B102" s="5" t="s">
        <v>3</v>
      </c>
      <c r="C102" s="6">
        <v>1693</v>
      </c>
      <c r="D102" s="9">
        <f t="shared" si="2"/>
        <v>909.47</v>
      </c>
      <c r="E102" s="13">
        <v>1810</v>
      </c>
      <c r="F102" s="14">
        <f t="shared" si="3"/>
        <v>-4.2891220205955975E-2</v>
      </c>
      <c r="G102" s="10"/>
    </row>
    <row r="103" spans="1:7" x14ac:dyDescent="0.25">
      <c r="A103" s="4">
        <v>45621</v>
      </c>
      <c r="B103" s="5" t="s">
        <v>4</v>
      </c>
      <c r="C103" s="6">
        <v>1332</v>
      </c>
      <c r="D103" s="9">
        <f t="shared" si="2"/>
        <v>901.55555555555554</v>
      </c>
      <c r="E103" s="13">
        <v>28498</v>
      </c>
      <c r="F103" s="14">
        <f t="shared" si="3"/>
        <v>-2.1599100733193266E-2</v>
      </c>
      <c r="G103" s="10"/>
    </row>
    <row r="104" spans="1:7" x14ac:dyDescent="0.25">
      <c r="A104" s="4">
        <v>45621</v>
      </c>
      <c r="B104" s="5" t="s">
        <v>5</v>
      </c>
      <c r="C104" s="6">
        <v>98</v>
      </c>
      <c r="D104" s="9">
        <f t="shared" si="2"/>
        <v>897.16326530612241</v>
      </c>
      <c r="E104" s="13">
        <v>39530</v>
      </c>
      <c r="F104" s="14">
        <f t="shared" si="3"/>
        <v>-2.4012734951827097E-2</v>
      </c>
      <c r="G104" s="10"/>
    </row>
    <row r="105" spans="1:7" x14ac:dyDescent="0.25">
      <c r="A105" s="4">
        <v>45621</v>
      </c>
      <c r="B105" s="5" t="s">
        <v>6</v>
      </c>
      <c r="C105" s="6">
        <v>885</v>
      </c>
      <c r="D105" s="9">
        <f t="shared" si="2"/>
        <v>905.40206185567013</v>
      </c>
      <c r="E105" s="13">
        <v>37876</v>
      </c>
      <c r="F105" s="14">
        <f t="shared" si="3"/>
        <v>-8.4552276338424343E-3</v>
      </c>
      <c r="G105" s="10"/>
    </row>
    <row r="106" spans="1:7" x14ac:dyDescent="0.25">
      <c r="A106" s="4">
        <v>45628</v>
      </c>
      <c r="B106" s="5" t="s">
        <v>3</v>
      </c>
      <c r="C106" s="6">
        <v>1625</v>
      </c>
      <c r="D106" s="9">
        <f t="shared" si="2"/>
        <v>905.61458333333337</v>
      </c>
      <c r="E106" s="13">
        <v>36103</v>
      </c>
      <c r="F106" s="14">
        <f t="shared" si="3"/>
        <v>-8.1278603122844281E-3</v>
      </c>
      <c r="G106" s="10"/>
    </row>
    <row r="107" spans="1:7" x14ac:dyDescent="0.25">
      <c r="A107" s="4">
        <v>45628</v>
      </c>
      <c r="B107" s="5" t="s">
        <v>4</v>
      </c>
      <c r="C107" s="6">
        <v>1706</v>
      </c>
      <c r="D107" s="9">
        <f t="shared" si="2"/>
        <v>898.04210526315785</v>
      </c>
      <c r="E107" s="13">
        <v>26103</v>
      </c>
      <c r="F107" s="14">
        <f t="shared" si="3"/>
        <v>-1.9864808308509257E-2</v>
      </c>
      <c r="G107" s="10"/>
    </row>
    <row r="108" spans="1:7" x14ac:dyDescent="0.25">
      <c r="A108" s="4">
        <v>45628</v>
      </c>
      <c r="B108" s="5" t="s">
        <v>5</v>
      </c>
      <c r="C108" s="6">
        <v>1173</v>
      </c>
      <c r="D108" s="9">
        <f t="shared" si="2"/>
        <v>889.44680851063833</v>
      </c>
      <c r="E108" s="13">
        <v>3455</v>
      </c>
      <c r="F108" s="14">
        <f t="shared" si="3"/>
        <v>-2.2600104496979745E-2</v>
      </c>
      <c r="G108" s="10"/>
    </row>
    <row r="109" spans="1:7" x14ac:dyDescent="0.25">
      <c r="A109" s="4">
        <v>45628</v>
      </c>
      <c r="B109" s="5" t="s">
        <v>6</v>
      </c>
      <c r="C109" s="6">
        <v>291</v>
      </c>
      <c r="D109" s="9">
        <f t="shared" si="2"/>
        <v>886.39784946236557</v>
      </c>
      <c r="E109" s="13">
        <v>40888</v>
      </c>
      <c r="F109" s="14">
        <f t="shared" si="3"/>
        <v>-1.5055741272587303E-2</v>
      </c>
      <c r="G109" s="10"/>
    </row>
    <row r="110" spans="1:7" x14ac:dyDescent="0.25">
      <c r="A110" s="4">
        <v>45635</v>
      </c>
      <c r="B110" s="5" t="s">
        <v>3</v>
      </c>
      <c r="C110" s="6">
        <v>1119</v>
      </c>
      <c r="D110" s="9">
        <f t="shared" si="2"/>
        <v>892.86956521739125</v>
      </c>
      <c r="E110" s="13">
        <v>22724</v>
      </c>
      <c r="F110" s="14">
        <f t="shared" si="3"/>
        <v>-1.3936218160008635E-3</v>
      </c>
      <c r="G110" s="10"/>
    </row>
    <row r="111" spans="1:7" x14ac:dyDescent="0.25">
      <c r="A111" s="4">
        <v>45635</v>
      </c>
      <c r="B111" s="5" t="s">
        <v>4</v>
      </c>
      <c r="C111" s="6">
        <v>1373</v>
      </c>
      <c r="D111" s="9">
        <f t="shared" si="2"/>
        <v>890.38461538461536</v>
      </c>
      <c r="E111" s="13">
        <v>18601</v>
      </c>
      <c r="F111" s="14">
        <f t="shared" si="3"/>
        <v>-1.060237118178362E-3</v>
      </c>
      <c r="G111" s="10"/>
    </row>
    <row r="112" spans="1:7" x14ac:dyDescent="0.25">
      <c r="A112" s="4">
        <v>45635</v>
      </c>
      <c r="B112" s="5" t="s">
        <v>5</v>
      </c>
      <c r="C112" s="6">
        <v>1727</v>
      </c>
      <c r="D112" s="9">
        <f t="shared" si="2"/>
        <v>885.02222222222224</v>
      </c>
      <c r="E112" s="13">
        <v>20861</v>
      </c>
      <c r="F112" s="14">
        <f t="shared" si="3"/>
        <v>2.4188708048613022E-3</v>
      </c>
      <c r="G112" s="10"/>
    </row>
    <row r="113" spans="1:7" x14ac:dyDescent="0.25">
      <c r="A113" s="4">
        <v>45635</v>
      </c>
      <c r="B113" s="5" t="s">
        <v>6</v>
      </c>
      <c r="C113" s="6">
        <v>573</v>
      </c>
      <c r="D113" s="9">
        <f t="shared" si="2"/>
        <v>875.56179775280896</v>
      </c>
      <c r="E113" s="13">
        <v>46625</v>
      </c>
      <c r="F113" s="14">
        <f t="shared" si="3"/>
        <v>6.0042459821675843E-3</v>
      </c>
      <c r="G113" s="10"/>
    </row>
    <row r="114" spans="1:7" x14ac:dyDescent="0.25">
      <c r="A114" s="4">
        <v>45642</v>
      </c>
      <c r="B114" s="5" t="s">
        <v>3</v>
      </c>
      <c r="C114" s="6">
        <v>1432</v>
      </c>
      <c r="D114" s="9">
        <f t="shared" si="2"/>
        <v>879</v>
      </c>
      <c r="E114" s="13">
        <v>20692</v>
      </c>
      <c r="F114" s="14">
        <f t="shared" si="3"/>
        <v>1.591430595185464E-2</v>
      </c>
      <c r="G114" s="10"/>
    </row>
    <row r="115" spans="1:7" x14ac:dyDescent="0.25">
      <c r="A115" s="4">
        <v>45642</v>
      </c>
      <c r="B115" s="5" t="s">
        <v>4</v>
      </c>
      <c r="C115" s="6">
        <v>1377</v>
      </c>
      <c r="D115" s="9">
        <f t="shared" si="2"/>
        <v>872.64367816091954</v>
      </c>
      <c r="E115" s="13">
        <v>18656</v>
      </c>
      <c r="F115" s="14">
        <f t="shared" si="3"/>
        <v>1.8349268886260626E-2</v>
      </c>
      <c r="G115" s="10"/>
    </row>
    <row r="116" spans="1:7" x14ac:dyDescent="0.25">
      <c r="A116" s="4">
        <v>45642</v>
      </c>
      <c r="B116" s="5" t="s">
        <v>5</v>
      </c>
      <c r="C116" s="6">
        <v>1359</v>
      </c>
      <c r="D116" s="9">
        <f t="shared" si="2"/>
        <v>866.77906976744191</v>
      </c>
      <c r="E116" s="13">
        <v>13316</v>
      </c>
      <c r="F116" s="14">
        <f t="shared" si="3"/>
        <v>2.2103604360175836E-2</v>
      </c>
      <c r="G116" s="10"/>
    </row>
    <row r="117" spans="1:7" x14ac:dyDescent="0.25">
      <c r="A117" s="4">
        <v>45642</v>
      </c>
      <c r="B117" s="5" t="s">
        <v>6</v>
      </c>
      <c r="C117" s="6">
        <v>876</v>
      </c>
      <c r="D117" s="9">
        <f t="shared" si="2"/>
        <v>860.98823529411766</v>
      </c>
      <c r="E117" s="13">
        <v>49558</v>
      </c>
      <c r="F117" s="14">
        <f t="shared" si="3"/>
        <v>2.9732238026793381E-2</v>
      </c>
      <c r="G117" s="10"/>
    </row>
    <row r="118" spans="1:7" x14ac:dyDescent="0.25">
      <c r="A118" s="4">
        <v>45649</v>
      </c>
      <c r="B118" s="5" t="s">
        <v>3</v>
      </c>
      <c r="C118" s="6">
        <v>684</v>
      </c>
      <c r="D118" s="9">
        <f t="shared" si="2"/>
        <v>860.80952380952385</v>
      </c>
      <c r="E118" s="13">
        <v>4683</v>
      </c>
      <c r="F118" s="14">
        <f t="shared" si="3"/>
        <v>2.9733999402640428E-2</v>
      </c>
      <c r="G118" s="10"/>
    </row>
    <row r="119" spans="1:7" x14ac:dyDescent="0.25">
      <c r="A119" s="4">
        <v>45649</v>
      </c>
      <c r="B119" s="5" t="s">
        <v>4</v>
      </c>
      <c r="C119" s="6">
        <v>730</v>
      </c>
      <c r="D119" s="9">
        <f t="shared" si="2"/>
        <v>862.93975903614455</v>
      </c>
      <c r="E119" s="13">
        <v>47502</v>
      </c>
      <c r="F119" s="14">
        <f t="shared" si="3"/>
        <v>2.5064570676782322E-2</v>
      </c>
      <c r="G119" s="10"/>
    </row>
    <row r="120" spans="1:7" x14ac:dyDescent="0.25">
      <c r="A120" s="4">
        <v>45649</v>
      </c>
      <c r="B120" s="5" t="s">
        <v>5</v>
      </c>
      <c r="C120" s="6">
        <v>911</v>
      </c>
      <c r="D120" s="9">
        <f t="shared" si="2"/>
        <v>864.56097560975604</v>
      </c>
      <c r="E120" s="13">
        <v>35359</v>
      </c>
      <c r="F120" s="14">
        <f t="shared" si="3"/>
        <v>3.0324994131249981E-2</v>
      </c>
      <c r="G120" s="10"/>
    </row>
    <row r="121" spans="1:7" x14ac:dyDescent="0.25">
      <c r="A121" s="4">
        <v>45649</v>
      </c>
      <c r="B121" s="5" t="s">
        <v>6</v>
      </c>
      <c r="C121" s="6">
        <v>1589</v>
      </c>
      <c r="D121" s="9">
        <f t="shared" si="2"/>
        <v>863.98765432098764</v>
      </c>
      <c r="E121" s="13">
        <v>14154</v>
      </c>
      <c r="F121" s="14">
        <f t="shared" si="3"/>
        <v>2.9614871661879295E-2</v>
      </c>
      <c r="G121" s="10"/>
    </row>
    <row r="122" spans="1:7" x14ac:dyDescent="0.25">
      <c r="A122" s="4">
        <v>45656</v>
      </c>
      <c r="B122" s="5" t="s">
        <v>3</v>
      </c>
      <c r="C122" s="6">
        <v>1765</v>
      </c>
      <c r="D122" s="9">
        <f t="shared" si="2"/>
        <v>854.92499999999995</v>
      </c>
      <c r="E122" s="13">
        <v>4313</v>
      </c>
      <c r="F122" s="14">
        <f t="shared" si="3"/>
        <v>4.033978429709123E-2</v>
      </c>
      <c r="G122" s="10"/>
    </row>
    <row r="123" spans="1:7" x14ac:dyDescent="0.25">
      <c r="A123" s="4">
        <v>45656</v>
      </c>
      <c r="B123" s="5" t="s">
        <v>4</v>
      </c>
      <c r="C123" s="6">
        <v>1776</v>
      </c>
      <c r="D123" s="9">
        <f t="shared" si="2"/>
        <v>843.40506329113919</v>
      </c>
      <c r="E123" s="13">
        <v>25140</v>
      </c>
      <c r="F123" s="14">
        <f t="shared" si="3"/>
        <v>6.9311848497743619E-2</v>
      </c>
      <c r="G123" s="10"/>
    </row>
    <row r="124" spans="1:7" x14ac:dyDescent="0.25">
      <c r="A124" s="4">
        <v>45656</v>
      </c>
      <c r="B124" s="5" t="s">
        <v>5</v>
      </c>
      <c r="C124" s="6">
        <v>1529</v>
      </c>
      <c r="D124" s="9">
        <f t="shared" si="2"/>
        <v>831.4487179487179</v>
      </c>
      <c r="E124" s="13">
        <v>9118</v>
      </c>
      <c r="F124" s="14">
        <f t="shared" si="3"/>
        <v>6.8350521821153601E-2</v>
      </c>
      <c r="G124" s="10"/>
    </row>
    <row r="125" spans="1:7" x14ac:dyDescent="0.25">
      <c r="A125" s="4">
        <v>45656</v>
      </c>
      <c r="B125" s="5" t="s">
        <v>6</v>
      </c>
      <c r="C125" s="6">
        <v>1460</v>
      </c>
      <c r="D125" s="9">
        <f t="shared" si="2"/>
        <v>822.38961038961043</v>
      </c>
      <c r="E125" s="13">
        <v>39931</v>
      </c>
      <c r="F125" s="14">
        <f t="shared" si="3"/>
        <v>8.6322686733291992E-2</v>
      </c>
      <c r="G125" s="10"/>
    </row>
    <row r="126" spans="1:7" x14ac:dyDescent="0.25">
      <c r="A126" s="4">
        <v>45663</v>
      </c>
      <c r="B126" s="5" t="s">
        <v>3</v>
      </c>
      <c r="C126" s="6">
        <v>903</v>
      </c>
      <c r="D126" s="9">
        <f t="shared" si="2"/>
        <v>814</v>
      </c>
      <c r="E126" s="13">
        <v>37132</v>
      </c>
      <c r="F126" s="14">
        <f t="shared" si="3"/>
        <v>7.0575973567600328E-2</v>
      </c>
      <c r="G126" s="10"/>
    </row>
    <row r="127" spans="1:7" x14ac:dyDescent="0.25">
      <c r="A127" s="4">
        <v>45663</v>
      </c>
      <c r="B127" s="5" t="s">
        <v>4</v>
      </c>
      <c r="C127" s="6">
        <v>620</v>
      </c>
      <c r="D127" s="9">
        <f t="shared" si="2"/>
        <v>812.81333333333339</v>
      </c>
      <c r="E127" s="13">
        <v>17951</v>
      </c>
      <c r="F127" s="14">
        <f t="shared" si="3"/>
        <v>6.8989381037579359E-2</v>
      </c>
      <c r="G127" s="10"/>
    </row>
    <row r="128" spans="1:7" x14ac:dyDescent="0.25">
      <c r="A128" s="4">
        <v>45663</v>
      </c>
      <c r="B128" s="5" t="s">
        <v>5</v>
      </c>
      <c r="C128" s="6">
        <v>1188</v>
      </c>
      <c r="D128" s="9">
        <f t="shared" si="2"/>
        <v>815.41891891891896</v>
      </c>
      <c r="E128" s="13">
        <v>2798</v>
      </c>
      <c r="F128" s="14">
        <f t="shared" si="3"/>
        <v>6.7306221865252189E-2</v>
      </c>
      <c r="G128" s="10"/>
    </row>
    <row r="129" spans="1:7" x14ac:dyDescent="0.25">
      <c r="A129" s="4">
        <v>45663</v>
      </c>
      <c r="B129" s="5" t="s">
        <v>6</v>
      </c>
      <c r="C129" s="6">
        <v>846</v>
      </c>
      <c r="D129" s="9">
        <f t="shared" si="2"/>
        <v>810.31506849315065</v>
      </c>
      <c r="E129" s="13">
        <v>15045</v>
      </c>
      <c r="F129" s="14">
        <f t="shared" si="3"/>
        <v>8.1878529386918961E-2</v>
      </c>
      <c r="G129" s="10"/>
    </row>
    <row r="130" spans="1:7" x14ac:dyDescent="0.25">
      <c r="A130" s="4">
        <v>45670</v>
      </c>
      <c r="B130" s="5" t="s">
        <v>3</v>
      </c>
      <c r="C130" s="6">
        <v>1722</v>
      </c>
      <c r="D130" s="9">
        <f t="shared" si="2"/>
        <v>809.81944444444446</v>
      </c>
      <c r="E130" s="13">
        <v>14548</v>
      </c>
      <c r="F130" s="14">
        <f t="shared" si="3"/>
        <v>8.2646981905349817E-2</v>
      </c>
      <c r="G130" s="10"/>
    </row>
    <row r="131" spans="1:7" x14ac:dyDescent="0.25">
      <c r="A131" s="4">
        <v>45670</v>
      </c>
      <c r="B131" s="5" t="s">
        <v>4</v>
      </c>
      <c r="C131" s="6">
        <v>298</v>
      </c>
      <c r="D131" s="9">
        <f t="shared" ref="D131:D194" si="4">AVERAGE(C131:C330)</f>
        <v>796.97183098591552</v>
      </c>
      <c r="E131" s="13">
        <v>45708</v>
      </c>
      <c r="F131" s="14">
        <f t="shared" ref="F131:F194" si="5">CORREL(C131:C330,E131:E330)</f>
        <v>9.9621523498369474E-2</v>
      </c>
      <c r="G131" s="10"/>
    </row>
    <row r="132" spans="1:7" x14ac:dyDescent="0.25">
      <c r="A132" s="4">
        <v>45670</v>
      </c>
      <c r="B132" s="5" t="s">
        <v>5</v>
      </c>
      <c r="C132" s="6">
        <v>-144</v>
      </c>
      <c r="D132" s="9">
        <f t="shared" si="4"/>
        <v>804.1</v>
      </c>
      <c r="E132" s="13">
        <v>12350</v>
      </c>
      <c r="F132" s="14">
        <f t="shared" si="5"/>
        <v>0.12140736381602696</v>
      </c>
      <c r="G132" s="10"/>
    </row>
    <row r="133" spans="1:7" x14ac:dyDescent="0.25">
      <c r="A133" s="4">
        <v>45670</v>
      </c>
      <c r="B133" s="5" t="s">
        <v>6</v>
      </c>
      <c r="C133" s="6">
        <v>901</v>
      </c>
      <c r="D133" s="9">
        <f t="shared" si="4"/>
        <v>817.84057971014488</v>
      </c>
      <c r="E133" s="13">
        <v>40868</v>
      </c>
      <c r="F133" s="14">
        <f t="shared" si="5"/>
        <v>0.1043841730469682</v>
      </c>
      <c r="G133" s="10"/>
    </row>
    <row r="134" spans="1:7" x14ac:dyDescent="0.25">
      <c r="A134" s="4">
        <v>45677</v>
      </c>
      <c r="B134" s="5" t="s">
        <v>3</v>
      </c>
      <c r="C134" s="6">
        <v>1572</v>
      </c>
      <c r="D134" s="9">
        <f t="shared" si="4"/>
        <v>816.61764705882354</v>
      </c>
      <c r="E134" s="13">
        <v>43122</v>
      </c>
      <c r="F134" s="14">
        <f t="shared" si="5"/>
        <v>0.10288120848711464</v>
      </c>
      <c r="G134" s="10"/>
    </row>
    <row r="135" spans="1:7" x14ac:dyDescent="0.25">
      <c r="A135" s="4">
        <v>45677</v>
      </c>
      <c r="B135" s="5" t="s">
        <v>4</v>
      </c>
      <c r="C135" s="6">
        <v>427</v>
      </c>
      <c r="D135" s="9">
        <f t="shared" si="4"/>
        <v>805.3432835820895</v>
      </c>
      <c r="E135" s="13">
        <v>23853</v>
      </c>
      <c r="F135" s="14">
        <f t="shared" si="5"/>
        <v>7.745191904253311E-2</v>
      </c>
      <c r="G135" s="10"/>
    </row>
    <row r="136" spans="1:7" x14ac:dyDescent="0.25">
      <c r="A136" s="4">
        <v>45677</v>
      </c>
      <c r="B136" s="5" t="s">
        <v>5</v>
      </c>
      <c r="C136" s="6">
        <v>891</v>
      </c>
      <c r="D136" s="9">
        <f t="shared" si="4"/>
        <v>811.07575757575762</v>
      </c>
      <c r="E136" s="13">
        <v>45380</v>
      </c>
      <c r="F136" s="14">
        <f t="shared" si="5"/>
        <v>7.8044066354749378E-2</v>
      </c>
      <c r="G136" s="10"/>
    </row>
    <row r="137" spans="1:7" x14ac:dyDescent="0.25">
      <c r="A137" s="4">
        <v>45677</v>
      </c>
      <c r="B137" s="5" t="s">
        <v>6</v>
      </c>
      <c r="C137" s="6">
        <v>724</v>
      </c>
      <c r="D137" s="9">
        <f t="shared" si="4"/>
        <v>809.84615384615381</v>
      </c>
      <c r="E137" s="13">
        <v>7705</v>
      </c>
      <c r="F137" s="14">
        <f t="shared" si="5"/>
        <v>7.6092546291344418E-2</v>
      </c>
      <c r="G137" s="10"/>
    </row>
    <row r="138" spans="1:7" x14ac:dyDescent="0.25">
      <c r="A138" s="4">
        <v>45684</v>
      </c>
      <c r="B138" s="5" t="s">
        <v>3</v>
      </c>
      <c r="C138" s="6">
        <v>-166</v>
      </c>
      <c r="D138" s="9">
        <f t="shared" si="4"/>
        <v>811.1875</v>
      </c>
      <c r="E138" s="13">
        <v>25525</v>
      </c>
      <c r="F138" s="14">
        <f t="shared" si="5"/>
        <v>7.4208830253461699E-2</v>
      </c>
      <c r="G138" s="10"/>
    </row>
    <row r="139" spans="1:7" x14ac:dyDescent="0.25">
      <c r="A139" s="4">
        <v>45684</v>
      </c>
      <c r="B139" s="5" t="s">
        <v>4</v>
      </c>
      <c r="C139" s="6">
        <v>898</v>
      </c>
      <c r="D139" s="9">
        <f t="shared" si="4"/>
        <v>826.69841269841265</v>
      </c>
      <c r="E139" s="13">
        <v>20560</v>
      </c>
      <c r="F139" s="14">
        <f t="shared" si="5"/>
        <v>8.0437065380814354E-2</v>
      </c>
      <c r="G139" s="10"/>
    </row>
    <row r="140" spans="1:7" x14ac:dyDescent="0.25">
      <c r="A140" s="4">
        <v>45684</v>
      </c>
      <c r="B140" s="5" t="s">
        <v>5</v>
      </c>
      <c r="C140" s="6">
        <v>1426</v>
      </c>
      <c r="D140" s="9">
        <f t="shared" si="4"/>
        <v>825.54838709677415</v>
      </c>
      <c r="E140" s="13">
        <v>19119</v>
      </c>
      <c r="F140" s="14">
        <f t="shared" si="5"/>
        <v>8.0867755358654411E-2</v>
      </c>
      <c r="G140" s="10"/>
    </row>
    <row r="141" spans="1:7" x14ac:dyDescent="0.25">
      <c r="A141" s="4">
        <v>45684</v>
      </c>
      <c r="B141" s="5" t="s">
        <v>6</v>
      </c>
      <c r="C141" s="6">
        <v>1225</v>
      </c>
      <c r="D141" s="9">
        <f t="shared" si="4"/>
        <v>815.70491803278685</v>
      </c>
      <c r="E141" s="13">
        <v>43999</v>
      </c>
      <c r="F141" s="14">
        <f t="shared" si="5"/>
        <v>8.6890314703326699E-2</v>
      </c>
      <c r="G141" s="10"/>
    </row>
    <row r="142" spans="1:7" x14ac:dyDescent="0.25">
      <c r="A142" s="4">
        <v>45691</v>
      </c>
      <c r="B142" s="5" t="s">
        <v>3</v>
      </c>
      <c r="C142" s="6">
        <v>1080</v>
      </c>
      <c r="D142" s="9">
        <f t="shared" si="4"/>
        <v>808.88333333333333</v>
      </c>
      <c r="E142" s="13">
        <v>10825</v>
      </c>
      <c r="F142" s="14">
        <f t="shared" si="5"/>
        <v>7.0991745255150701E-2</v>
      </c>
      <c r="G142" s="10"/>
    </row>
    <row r="143" spans="1:7" x14ac:dyDescent="0.25">
      <c r="A143" s="4">
        <v>45691</v>
      </c>
      <c r="B143" s="5" t="s">
        <v>4</v>
      </c>
      <c r="C143" s="6">
        <v>748</v>
      </c>
      <c r="D143" s="9">
        <f t="shared" si="4"/>
        <v>804.28813559322032</v>
      </c>
      <c r="E143" s="13">
        <v>40323</v>
      </c>
      <c r="F143" s="14">
        <f t="shared" si="5"/>
        <v>7.8656734233868139E-2</v>
      </c>
      <c r="G143" s="10"/>
    </row>
    <row r="144" spans="1:7" x14ac:dyDescent="0.25">
      <c r="A144" s="4">
        <v>45691</v>
      </c>
      <c r="B144" s="5" t="s">
        <v>5</v>
      </c>
      <c r="C144" s="6">
        <v>569</v>
      </c>
      <c r="D144" s="9">
        <f t="shared" si="4"/>
        <v>805.25862068965512</v>
      </c>
      <c r="E144" s="13">
        <v>48270</v>
      </c>
      <c r="F144" s="14">
        <f t="shared" si="5"/>
        <v>8.1758656787011552E-2</v>
      </c>
      <c r="G144" s="10"/>
    </row>
    <row r="145" spans="1:7" x14ac:dyDescent="0.25">
      <c r="A145" s="4">
        <v>45691</v>
      </c>
      <c r="B145" s="5" t="s">
        <v>6</v>
      </c>
      <c r="C145" s="6">
        <v>-203</v>
      </c>
      <c r="D145" s="9">
        <f t="shared" si="4"/>
        <v>809.40350877192986</v>
      </c>
      <c r="E145" s="13">
        <v>18001</v>
      </c>
      <c r="F145" s="14">
        <f t="shared" si="5"/>
        <v>9.7672484541901403E-2</v>
      </c>
      <c r="G145" s="10"/>
    </row>
    <row r="146" spans="1:7" x14ac:dyDescent="0.25">
      <c r="A146" s="4">
        <v>45698</v>
      </c>
      <c r="B146" s="5" t="s">
        <v>3</v>
      </c>
      <c r="C146" s="6">
        <v>1723</v>
      </c>
      <c r="D146" s="9">
        <f t="shared" si="4"/>
        <v>827.48214285714289</v>
      </c>
      <c r="E146" s="13">
        <v>3314</v>
      </c>
      <c r="F146" s="14">
        <f t="shared" si="5"/>
        <v>9.0031866048129364E-2</v>
      </c>
      <c r="G146" s="10"/>
    </row>
    <row r="147" spans="1:7" x14ac:dyDescent="0.25">
      <c r="A147" s="4">
        <v>45698</v>
      </c>
      <c r="B147" s="5" t="s">
        <v>4</v>
      </c>
      <c r="C147" s="6">
        <v>912</v>
      </c>
      <c r="D147" s="9">
        <f t="shared" si="4"/>
        <v>811.2</v>
      </c>
      <c r="E147" s="13">
        <v>23489</v>
      </c>
      <c r="F147" s="14">
        <f t="shared" si="5"/>
        <v>0.13508985865357395</v>
      </c>
      <c r="G147" s="10"/>
    </row>
    <row r="148" spans="1:7" x14ac:dyDescent="0.25">
      <c r="A148" s="4">
        <v>45698</v>
      </c>
      <c r="B148" s="5" t="s">
        <v>5</v>
      </c>
      <c r="C148" s="6">
        <v>1202</v>
      </c>
      <c r="D148" s="9">
        <f t="shared" si="4"/>
        <v>809.33333333333337</v>
      </c>
      <c r="E148" s="13">
        <v>42832</v>
      </c>
      <c r="F148" s="14">
        <f t="shared" si="5"/>
        <v>0.13499924580076555</v>
      </c>
      <c r="G148" s="10"/>
    </row>
    <row r="149" spans="1:7" x14ac:dyDescent="0.25">
      <c r="A149" s="4">
        <v>45698</v>
      </c>
      <c r="B149" s="5" t="s">
        <v>6</v>
      </c>
      <c r="C149" s="6">
        <v>1444</v>
      </c>
      <c r="D149" s="9">
        <f t="shared" si="4"/>
        <v>801.92452830188677</v>
      </c>
      <c r="E149" s="13">
        <v>24494</v>
      </c>
      <c r="F149" s="14">
        <f t="shared" si="5"/>
        <v>0.11914915539556387</v>
      </c>
      <c r="G149" s="10"/>
    </row>
    <row r="150" spans="1:7" x14ac:dyDescent="0.25">
      <c r="A150" s="4">
        <v>45705</v>
      </c>
      <c r="B150" s="5" t="s">
        <v>3</v>
      </c>
      <c r="C150" s="6">
        <v>965</v>
      </c>
      <c r="D150" s="9">
        <f t="shared" si="4"/>
        <v>789.57692307692309</v>
      </c>
      <c r="E150" s="13">
        <v>44097</v>
      </c>
      <c r="F150" s="14">
        <f t="shared" si="5"/>
        <v>0.11754732531919761</v>
      </c>
      <c r="G150" s="10"/>
    </row>
    <row r="151" spans="1:7" x14ac:dyDescent="0.25">
      <c r="A151" s="4">
        <v>45705</v>
      </c>
      <c r="B151" s="5" t="s">
        <v>4</v>
      </c>
      <c r="C151" s="6">
        <v>1590</v>
      </c>
      <c r="D151" s="9">
        <f t="shared" si="4"/>
        <v>786.13725490196077</v>
      </c>
      <c r="E151" s="13">
        <v>31853</v>
      </c>
      <c r="F151" s="14">
        <f t="shared" si="5"/>
        <v>0.11091188015113189</v>
      </c>
      <c r="G151" s="10"/>
    </row>
    <row r="152" spans="1:7" x14ac:dyDescent="0.25">
      <c r="A152" s="4">
        <v>45705</v>
      </c>
      <c r="B152" s="5" t="s">
        <v>5</v>
      </c>
      <c r="C152" s="6">
        <v>-37</v>
      </c>
      <c r="D152" s="9">
        <f t="shared" si="4"/>
        <v>770.06</v>
      </c>
      <c r="E152" s="13">
        <v>37636</v>
      </c>
      <c r="F152" s="14">
        <f t="shared" si="5"/>
        <v>9.3196288520481521E-2</v>
      </c>
      <c r="G152" s="10"/>
    </row>
    <row r="153" spans="1:7" x14ac:dyDescent="0.25">
      <c r="A153" s="4">
        <v>45705</v>
      </c>
      <c r="B153" s="5" t="s">
        <v>6</v>
      </c>
      <c r="C153" s="6">
        <v>1175</v>
      </c>
      <c r="D153" s="9">
        <f t="shared" si="4"/>
        <v>786.53061224489795</v>
      </c>
      <c r="E153" s="13">
        <v>22996</v>
      </c>
      <c r="F153" s="14">
        <f t="shared" si="5"/>
        <v>0.13090500258734375</v>
      </c>
      <c r="G153" s="10"/>
    </row>
    <row r="154" spans="1:7" x14ac:dyDescent="0.25">
      <c r="A154" s="4">
        <v>45712</v>
      </c>
      <c r="B154" s="5" t="s">
        <v>3</v>
      </c>
      <c r="C154" s="6">
        <v>1375</v>
      </c>
      <c r="D154" s="9">
        <f t="shared" si="4"/>
        <v>778.4375</v>
      </c>
      <c r="E154" s="13">
        <v>49772</v>
      </c>
      <c r="F154" s="14">
        <f t="shared" si="5"/>
        <v>0.13007116498189178</v>
      </c>
      <c r="G154" s="10"/>
    </row>
    <row r="155" spans="1:7" x14ac:dyDescent="0.25">
      <c r="A155" s="4">
        <v>45712</v>
      </c>
      <c r="B155" s="5" t="s">
        <v>4</v>
      </c>
      <c r="C155" s="6">
        <v>1707</v>
      </c>
      <c r="D155" s="9">
        <f t="shared" si="4"/>
        <v>765.74468085106378</v>
      </c>
      <c r="E155" s="13">
        <v>22713</v>
      </c>
      <c r="F155" s="14">
        <f t="shared" si="5"/>
        <v>8.9247580914210506E-2</v>
      </c>
      <c r="G155" s="10"/>
    </row>
    <row r="156" spans="1:7" x14ac:dyDescent="0.25">
      <c r="A156" s="4">
        <v>45712</v>
      </c>
      <c r="B156" s="5" t="s">
        <v>5</v>
      </c>
      <c r="C156" s="6">
        <v>708</v>
      </c>
      <c r="D156" s="9">
        <f t="shared" si="4"/>
        <v>745.28260869565213</v>
      </c>
      <c r="E156" s="13">
        <v>8718</v>
      </c>
      <c r="F156" s="14">
        <f t="shared" si="5"/>
        <v>8.7120422654749965E-2</v>
      </c>
      <c r="G156" s="10"/>
    </row>
    <row r="157" spans="1:7" x14ac:dyDescent="0.25">
      <c r="A157" s="4">
        <v>45712</v>
      </c>
      <c r="B157" s="5" t="s">
        <v>6</v>
      </c>
      <c r="C157" s="6">
        <v>1016</v>
      </c>
      <c r="D157" s="9">
        <f t="shared" si="4"/>
        <v>746.11111111111109</v>
      </c>
      <c r="E157" s="13">
        <v>39031</v>
      </c>
      <c r="F157" s="14">
        <f t="shared" si="5"/>
        <v>8.6563474282875155E-2</v>
      </c>
      <c r="G157" s="10"/>
    </row>
    <row r="158" spans="1:7" x14ac:dyDescent="0.25">
      <c r="A158" s="4">
        <v>45719</v>
      </c>
      <c r="B158" s="5" t="s">
        <v>3</v>
      </c>
      <c r="C158" s="6">
        <v>1315</v>
      </c>
      <c r="D158" s="9">
        <f t="shared" si="4"/>
        <v>739.97727272727275</v>
      </c>
      <c r="E158" s="13">
        <v>33799</v>
      </c>
      <c r="F158" s="14">
        <f t="shared" si="5"/>
        <v>7.3715632234816059E-2</v>
      </c>
      <c r="G158" s="10"/>
    </row>
    <row r="159" spans="1:7" x14ac:dyDescent="0.25">
      <c r="A159" s="4">
        <v>45719</v>
      </c>
      <c r="B159" s="5" t="s">
        <v>4</v>
      </c>
      <c r="C159" s="6">
        <v>-119</v>
      </c>
      <c r="D159" s="9">
        <f t="shared" si="4"/>
        <v>726.60465116279067</v>
      </c>
      <c r="E159" s="13">
        <v>20553</v>
      </c>
      <c r="F159" s="14">
        <f t="shared" si="5"/>
        <v>5.1790607324794805E-2</v>
      </c>
      <c r="G159" s="10"/>
    </row>
    <row r="160" spans="1:7" x14ac:dyDescent="0.25">
      <c r="A160" s="4">
        <v>45719</v>
      </c>
      <c r="B160" s="5" t="s">
        <v>5</v>
      </c>
      <c r="C160" s="6">
        <v>899</v>
      </c>
      <c r="D160" s="9">
        <f t="shared" si="4"/>
        <v>746.73809523809518</v>
      </c>
      <c r="E160" s="13">
        <v>10002</v>
      </c>
      <c r="F160" s="14">
        <f t="shared" si="5"/>
        <v>5.3457249151943297E-2</v>
      </c>
      <c r="G160" s="10"/>
    </row>
    <row r="161" spans="1:7" x14ac:dyDescent="0.25">
      <c r="A161" s="4">
        <v>45719</v>
      </c>
      <c r="B161" s="5" t="s">
        <v>6</v>
      </c>
      <c r="C161" s="6">
        <v>315</v>
      </c>
      <c r="D161" s="9">
        <f t="shared" si="4"/>
        <v>743.02439024390242</v>
      </c>
      <c r="E161" s="13">
        <v>30987</v>
      </c>
      <c r="F161" s="14">
        <f t="shared" si="5"/>
        <v>5.9129349556227596E-2</v>
      </c>
      <c r="G161" s="10"/>
    </row>
    <row r="162" spans="1:7" x14ac:dyDescent="0.25">
      <c r="A162" s="4">
        <v>45726</v>
      </c>
      <c r="B162" s="5" t="s">
        <v>3</v>
      </c>
      <c r="C162" s="6">
        <v>212</v>
      </c>
      <c r="D162" s="9">
        <f t="shared" si="4"/>
        <v>753.72500000000002</v>
      </c>
      <c r="E162" s="13">
        <v>6296</v>
      </c>
      <c r="F162" s="14">
        <f t="shared" si="5"/>
        <v>7.4617898143841191E-2</v>
      </c>
      <c r="G162" s="10"/>
    </row>
    <row r="163" spans="1:7" x14ac:dyDescent="0.25">
      <c r="A163" s="4">
        <v>45726</v>
      </c>
      <c r="B163" s="5" t="s">
        <v>4</v>
      </c>
      <c r="C163" s="6">
        <v>908</v>
      </c>
      <c r="D163" s="9">
        <f t="shared" si="4"/>
        <v>767.61538461538464</v>
      </c>
      <c r="E163" s="13">
        <v>21539</v>
      </c>
      <c r="F163" s="14">
        <f t="shared" si="5"/>
        <v>5.0335214856877405E-2</v>
      </c>
      <c r="G163" s="10"/>
    </row>
    <row r="164" spans="1:7" x14ac:dyDescent="0.25">
      <c r="A164" s="4">
        <v>45726</v>
      </c>
      <c r="B164" s="5" t="s">
        <v>5</v>
      </c>
      <c r="C164" s="6">
        <v>1350</v>
      </c>
      <c r="D164" s="9">
        <f t="shared" si="4"/>
        <v>763.92105263157896</v>
      </c>
      <c r="E164" s="13">
        <v>14722</v>
      </c>
      <c r="F164" s="14">
        <f t="shared" si="5"/>
        <v>5.0037629187501299E-2</v>
      </c>
      <c r="G164" s="10"/>
    </row>
    <row r="165" spans="1:7" x14ac:dyDescent="0.25">
      <c r="A165" s="4">
        <v>45726</v>
      </c>
      <c r="B165" s="5" t="s">
        <v>6</v>
      </c>
      <c r="C165" s="6">
        <v>1242</v>
      </c>
      <c r="D165" s="9">
        <f t="shared" si="4"/>
        <v>748.08108108108104</v>
      </c>
      <c r="E165" s="13">
        <v>11383</v>
      </c>
      <c r="F165" s="14">
        <f t="shared" si="5"/>
        <v>6.3337738140641198E-2</v>
      </c>
      <c r="G165" s="10"/>
    </row>
    <row r="166" spans="1:7" x14ac:dyDescent="0.25">
      <c r="A166" s="4">
        <v>45733</v>
      </c>
      <c r="B166" s="5" t="s">
        <v>3</v>
      </c>
      <c r="C166" s="6">
        <v>680</v>
      </c>
      <c r="D166" s="9">
        <f t="shared" si="4"/>
        <v>734.36111111111109</v>
      </c>
      <c r="E166" s="13">
        <v>9480</v>
      </c>
      <c r="F166" s="14">
        <f t="shared" si="5"/>
        <v>8.1243801334500057E-2</v>
      </c>
      <c r="G166" s="10"/>
    </row>
    <row r="167" spans="1:7" x14ac:dyDescent="0.25">
      <c r="A167" s="4">
        <v>45733</v>
      </c>
      <c r="B167" s="5" t="s">
        <v>4</v>
      </c>
      <c r="C167" s="6">
        <v>1116</v>
      </c>
      <c r="D167" s="9">
        <f t="shared" si="4"/>
        <v>735.91428571428571</v>
      </c>
      <c r="E167" s="13">
        <v>29116</v>
      </c>
      <c r="F167" s="14">
        <f t="shared" si="5"/>
        <v>7.9788416584780544E-2</v>
      </c>
      <c r="G167" s="10"/>
    </row>
    <row r="168" spans="1:7" x14ac:dyDescent="0.25">
      <c r="A168" s="4">
        <v>45733</v>
      </c>
      <c r="B168" s="5" t="s">
        <v>5</v>
      </c>
      <c r="C168" s="6">
        <v>861</v>
      </c>
      <c r="D168" s="9">
        <f t="shared" si="4"/>
        <v>724.73529411764707</v>
      </c>
      <c r="E168" s="13">
        <v>14068</v>
      </c>
      <c r="F168" s="14">
        <f t="shared" si="5"/>
        <v>7.0241082156982562E-2</v>
      </c>
      <c r="G168" s="10"/>
    </row>
    <row r="169" spans="1:7" x14ac:dyDescent="0.25">
      <c r="A169" s="4">
        <v>45733</v>
      </c>
      <c r="B169" s="5" t="s">
        <v>6</v>
      </c>
      <c r="C169" s="6">
        <v>1385</v>
      </c>
      <c r="D169" s="9">
        <f t="shared" si="4"/>
        <v>720.60606060606062</v>
      </c>
      <c r="E169" s="13">
        <v>35801</v>
      </c>
      <c r="F169" s="14">
        <f t="shared" si="5"/>
        <v>7.4204671652527837E-2</v>
      </c>
      <c r="G169" s="10"/>
    </row>
    <row r="170" spans="1:7" x14ac:dyDescent="0.25">
      <c r="A170" s="4">
        <v>45740</v>
      </c>
      <c r="B170" s="5" t="s">
        <v>3</v>
      </c>
      <c r="C170" s="6">
        <v>461</v>
      </c>
      <c r="D170" s="9">
        <f t="shared" si="4"/>
        <v>699.84375</v>
      </c>
      <c r="E170" s="13">
        <v>49077</v>
      </c>
      <c r="F170" s="14">
        <f t="shared" si="5"/>
        <v>4.1122774396976355E-2</v>
      </c>
      <c r="G170" s="10"/>
    </row>
    <row r="171" spans="1:7" x14ac:dyDescent="0.25">
      <c r="A171" s="4">
        <v>45740</v>
      </c>
      <c r="B171" s="5" t="s">
        <v>4</v>
      </c>
      <c r="C171" s="6">
        <v>474</v>
      </c>
      <c r="D171" s="9">
        <f t="shared" si="4"/>
        <v>707.54838709677415</v>
      </c>
      <c r="E171" s="13">
        <v>21453</v>
      </c>
      <c r="F171" s="14">
        <f t="shared" si="5"/>
        <v>7.1038700773939478E-2</v>
      </c>
      <c r="G171" s="10"/>
    </row>
    <row r="172" spans="1:7" x14ac:dyDescent="0.25">
      <c r="A172" s="4">
        <v>45740</v>
      </c>
      <c r="B172" s="5" t="s">
        <v>5</v>
      </c>
      <c r="C172" s="6">
        <v>292</v>
      </c>
      <c r="D172" s="9">
        <f t="shared" si="4"/>
        <v>715.33333333333337</v>
      </c>
      <c r="E172" s="13">
        <v>21061</v>
      </c>
      <c r="F172" s="14">
        <f t="shared" si="5"/>
        <v>7.2387074718469141E-2</v>
      </c>
      <c r="G172" s="10"/>
    </row>
    <row r="173" spans="1:7" x14ac:dyDescent="0.25">
      <c r="A173" s="4">
        <v>45740</v>
      </c>
      <c r="B173" s="5" t="s">
        <v>6</v>
      </c>
      <c r="C173" s="6">
        <v>389</v>
      </c>
      <c r="D173" s="9">
        <f t="shared" si="4"/>
        <v>729.93103448275861</v>
      </c>
      <c r="E173" s="13">
        <v>20059</v>
      </c>
      <c r="F173" s="14">
        <f t="shared" si="5"/>
        <v>7.4514248304207276E-2</v>
      </c>
      <c r="G173" s="10"/>
    </row>
    <row r="174" spans="1:7" x14ac:dyDescent="0.25">
      <c r="A174" s="4">
        <v>45747</v>
      </c>
      <c r="B174" s="5" t="s">
        <v>3</v>
      </c>
      <c r="C174" s="6">
        <v>641</v>
      </c>
      <c r="D174" s="9">
        <f t="shared" si="4"/>
        <v>742.10714285714289</v>
      </c>
      <c r="E174" s="13">
        <v>23140</v>
      </c>
      <c r="F174" s="14">
        <f t="shared" si="5"/>
        <v>7.4782915367503117E-2</v>
      </c>
      <c r="G174" s="10"/>
    </row>
    <row r="175" spans="1:7" x14ac:dyDescent="0.25">
      <c r="A175" s="4">
        <v>45747</v>
      </c>
      <c r="B175" s="5" t="s">
        <v>4</v>
      </c>
      <c r="C175" s="6">
        <v>514</v>
      </c>
      <c r="D175" s="9">
        <f t="shared" si="4"/>
        <v>745.85185185185185</v>
      </c>
      <c r="E175" s="13">
        <v>23461</v>
      </c>
      <c r="F175" s="14">
        <f t="shared" si="5"/>
        <v>7.6124990215041863E-2</v>
      </c>
      <c r="G175" s="10"/>
    </row>
    <row r="176" spans="1:7" x14ac:dyDescent="0.25">
      <c r="A176" s="4">
        <v>45747</v>
      </c>
      <c r="B176" s="5" t="s">
        <v>5</v>
      </c>
      <c r="C176" s="6">
        <v>1676</v>
      </c>
      <c r="D176" s="9">
        <f t="shared" si="4"/>
        <v>754.76923076923072</v>
      </c>
      <c r="E176" s="13">
        <v>11805</v>
      </c>
      <c r="F176" s="14">
        <f t="shared" si="5"/>
        <v>7.9690675187109317E-2</v>
      </c>
      <c r="G176" s="10"/>
    </row>
    <row r="177" spans="1:7" x14ac:dyDescent="0.25">
      <c r="A177" s="4">
        <v>45747</v>
      </c>
      <c r="B177" s="5" t="s">
        <v>6</v>
      </c>
      <c r="C177" s="6">
        <v>1467</v>
      </c>
      <c r="D177" s="9">
        <f t="shared" si="4"/>
        <v>717.92</v>
      </c>
      <c r="E177" s="13">
        <v>15969</v>
      </c>
      <c r="F177" s="14">
        <f t="shared" si="5"/>
        <v>0.11645556949542354</v>
      </c>
      <c r="G177" s="10"/>
    </row>
    <row r="178" spans="1:7" x14ac:dyDescent="0.25">
      <c r="A178" s="4">
        <v>45754</v>
      </c>
      <c r="B178" s="5" t="s">
        <v>3</v>
      </c>
      <c r="C178" s="6">
        <v>167</v>
      </c>
      <c r="D178" s="9">
        <f t="shared" si="4"/>
        <v>686.70833333333337</v>
      </c>
      <c r="E178" s="13">
        <v>2436</v>
      </c>
      <c r="F178" s="14">
        <f t="shared" si="5"/>
        <v>0.13480926769543944</v>
      </c>
      <c r="G178" s="10"/>
    </row>
    <row r="179" spans="1:7" x14ac:dyDescent="0.25">
      <c r="A179" s="4">
        <v>45754</v>
      </c>
      <c r="B179" s="5" t="s">
        <v>4</v>
      </c>
      <c r="C179" s="6">
        <v>1029</v>
      </c>
      <c r="D179" s="9">
        <f t="shared" si="4"/>
        <v>709.304347826087</v>
      </c>
      <c r="E179" s="13">
        <v>47603</v>
      </c>
      <c r="F179" s="14">
        <f t="shared" si="5"/>
        <v>9.6703121561664176E-2</v>
      </c>
      <c r="G179" s="10"/>
    </row>
    <row r="180" spans="1:7" x14ac:dyDescent="0.25">
      <c r="A180" s="4">
        <v>45754</v>
      </c>
      <c r="B180" s="5" t="s">
        <v>5</v>
      </c>
      <c r="C180" s="6">
        <v>1007</v>
      </c>
      <c r="D180" s="9">
        <f t="shared" si="4"/>
        <v>694.77272727272725</v>
      </c>
      <c r="E180" s="13">
        <v>42964</v>
      </c>
      <c r="F180" s="14">
        <f t="shared" si="5"/>
        <v>6.1158389178270163E-2</v>
      </c>
      <c r="G180" s="10"/>
    </row>
    <row r="181" spans="1:7" x14ac:dyDescent="0.25">
      <c r="A181" s="4">
        <v>45754</v>
      </c>
      <c r="B181" s="5" t="s">
        <v>6</v>
      </c>
      <c r="C181" s="6">
        <v>209</v>
      </c>
      <c r="D181" s="9">
        <f t="shared" si="4"/>
        <v>679.90476190476193</v>
      </c>
      <c r="E181" s="13">
        <v>39923</v>
      </c>
      <c r="F181" s="14">
        <f t="shared" si="5"/>
        <v>2.5879340146319384E-2</v>
      </c>
      <c r="G181" s="10"/>
    </row>
    <row r="182" spans="1:7" x14ac:dyDescent="0.25">
      <c r="A182" s="4">
        <v>45761</v>
      </c>
      <c r="B182" s="5" t="s">
        <v>3</v>
      </c>
      <c r="C182" s="6">
        <v>-160</v>
      </c>
      <c r="D182" s="9">
        <f t="shared" si="4"/>
        <v>703.45</v>
      </c>
      <c r="E182" s="13">
        <v>2293</v>
      </c>
      <c r="F182" s="14">
        <f t="shared" si="5"/>
        <v>8.6899531255440685E-2</v>
      </c>
      <c r="G182" s="10"/>
    </row>
    <row r="183" spans="1:7" x14ac:dyDescent="0.25">
      <c r="A183" s="4">
        <v>45761</v>
      </c>
      <c r="B183" s="5" t="s">
        <v>4</v>
      </c>
      <c r="C183" s="6">
        <v>-175</v>
      </c>
      <c r="D183" s="9">
        <f t="shared" si="4"/>
        <v>748.89473684210532</v>
      </c>
      <c r="E183" s="13">
        <v>25920</v>
      </c>
      <c r="F183" s="14">
        <f t="shared" si="5"/>
        <v>6.9925425285100127E-3</v>
      </c>
      <c r="G183" s="10"/>
    </row>
    <row r="184" spans="1:7" x14ac:dyDescent="0.25">
      <c r="A184" s="4">
        <v>45761</v>
      </c>
      <c r="B184" s="5" t="s">
        <v>5</v>
      </c>
      <c r="C184" s="6">
        <v>53</v>
      </c>
      <c r="D184" s="9">
        <f t="shared" si="4"/>
        <v>800.22222222222217</v>
      </c>
      <c r="E184" s="13">
        <v>11035</v>
      </c>
      <c r="F184" s="14">
        <f t="shared" si="5"/>
        <v>5.4312866022393068E-2</v>
      </c>
      <c r="G184" s="10"/>
    </row>
    <row r="185" spans="1:7" x14ac:dyDescent="0.25">
      <c r="A185" s="4">
        <v>45761</v>
      </c>
      <c r="B185" s="5" t="s">
        <v>6</v>
      </c>
      <c r="C185" s="6">
        <v>145</v>
      </c>
      <c r="D185" s="9">
        <f t="shared" si="4"/>
        <v>844.17647058823525</v>
      </c>
      <c r="E185" s="13">
        <v>20733</v>
      </c>
      <c r="F185" s="14">
        <f t="shared" si="5"/>
        <v>1.7134971538696454E-2</v>
      </c>
      <c r="G185" s="10"/>
    </row>
    <row r="186" spans="1:7" x14ac:dyDescent="0.25">
      <c r="A186" s="4">
        <v>45768</v>
      </c>
      <c r="B186" s="5" t="s">
        <v>3</v>
      </c>
      <c r="C186" s="6">
        <v>603</v>
      </c>
      <c r="D186" s="9">
        <f t="shared" si="4"/>
        <v>887.875</v>
      </c>
      <c r="E186" s="13">
        <v>18693</v>
      </c>
      <c r="F186" s="14">
        <f t="shared" si="5"/>
        <v>2.8891405816073783E-2</v>
      </c>
      <c r="G186" s="10"/>
    </row>
    <row r="187" spans="1:7" x14ac:dyDescent="0.25">
      <c r="A187" s="4">
        <v>45768</v>
      </c>
      <c r="B187" s="5" t="s">
        <v>4</v>
      </c>
      <c r="C187" s="6">
        <v>1045</v>
      </c>
      <c r="D187" s="9">
        <f t="shared" si="4"/>
        <v>906.86666666666667</v>
      </c>
      <c r="E187" s="13">
        <v>7875</v>
      </c>
      <c r="F187" s="14">
        <f t="shared" si="5"/>
        <v>2.9352216191979558E-2</v>
      </c>
      <c r="G187" s="10"/>
    </row>
    <row r="188" spans="1:7" x14ac:dyDescent="0.25">
      <c r="A188" s="4">
        <v>45768</v>
      </c>
      <c r="B188" s="5" t="s">
        <v>5</v>
      </c>
      <c r="C188" s="6">
        <v>759</v>
      </c>
      <c r="D188" s="9">
        <f t="shared" si="4"/>
        <v>897</v>
      </c>
      <c r="E188" s="13">
        <v>8471</v>
      </c>
      <c r="F188" s="14">
        <f t="shared" si="5"/>
        <v>4.1904503560160983E-2</v>
      </c>
      <c r="G188" s="10"/>
    </row>
    <row r="189" spans="1:7" x14ac:dyDescent="0.25">
      <c r="A189" s="4">
        <v>45768</v>
      </c>
      <c r="B189" s="5" t="s">
        <v>6</v>
      </c>
      <c r="C189" s="6">
        <v>1633</v>
      </c>
      <c r="D189" s="9">
        <f t="shared" si="4"/>
        <v>907.61538461538464</v>
      </c>
      <c r="E189" s="13">
        <v>14090</v>
      </c>
      <c r="F189" s="14">
        <f t="shared" si="5"/>
        <v>3.0416566742261345E-2</v>
      </c>
      <c r="G189" s="10"/>
    </row>
    <row r="190" spans="1:7" x14ac:dyDescent="0.25">
      <c r="A190" s="4">
        <v>45775</v>
      </c>
      <c r="B190" s="5" t="s">
        <v>3</v>
      </c>
      <c r="C190" s="6">
        <v>1539</v>
      </c>
      <c r="D190" s="9">
        <f t="shared" si="4"/>
        <v>847.16666666666663</v>
      </c>
      <c r="E190" s="13">
        <v>14216</v>
      </c>
      <c r="F190" s="14">
        <f t="shared" si="5"/>
        <v>7.1454027621242588E-2</v>
      </c>
      <c r="G190" s="10"/>
    </row>
    <row r="191" spans="1:7" x14ac:dyDescent="0.25">
      <c r="A191" s="4">
        <v>45775</v>
      </c>
      <c r="B191" s="5" t="s">
        <v>4</v>
      </c>
      <c r="C191" s="6">
        <v>453</v>
      </c>
      <c r="D191" s="9">
        <f t="shared" si="4"/>
        <v>784.27272727272725</v>
      </c>
      <c r="E191" s="13">
        <v>3582</v>
      </c>
      <c r="F191" s="14">
        <f t="shared" si="5"/>
        <v>0.11858574927042231</v>
      </c>
      <c r="G191" s="10"/>
    </row>
    <row r="192" spans="1:7" x14ac:dyDescent="0.25">
      <c r="A192" s="4">
        <v>45775</v>
      </c>
      <c r="B192" s="5" t="s">
        <v>5</v>
      </c>
      <c r="C192" s="6">
        <v>948</v>
      </c>
      <c r="D192" s="9">
        <f t="shared" si="4"/>
        <v>817.4</v>
      </c>
      <c r="E192" s="13">
        <v>32500</v>
      </c>
      <c r="F192" s="14">
        <f t="shared" si="5"/>
        <v>6.7393888504825319E-2</v>
      </c>
      <c r="G192" s="10"/>
    </row>
    <row r="193" spans="1:7" x14ac:dyDescent="0.25">
      <c r="A193" s="4">
        <v>45775</v>
      </c>
      <c r="B193" s="5" t="s">
        <v>6</v>
      </c>
      <c r="C193" s="6">
        <v>637</v>
      </c>
      <c r="D193" s="9">
        <f t="shared" si="4"/>
        <v>802.88888888888891</v>
      </c>
      <c r="E193" s="13">
        <v>6832</v>
      </c>
      <c r="F193" s="14">
        <f t="shared" si="5"/>
        <v>5.5701486641801523E-2</v>
      </c>
      <c r="G193" s="10"/>
    </row>
    <row r="194" spans="1:7" x14ac:dyDescent="0.25">
      <c r="A194" s="4">
        <v>45782</v>
      </c>
      <c r="B194" s="5" t="s">
        <v>3</v>
      </c>
      <c r="C194" s="6">
        <v>1881</v>
      </c>
      <c r="D194" s="9">
        <f t="shared" si="4"/>
        <v>823.625</v>
      </c>
      <c r="E194" s="13">
        <v>33381</v>
      </c>
      <c r="F194" s="14">
        <f t="shared" si="5"/>
        <v>3.0246331754441837E-2</v>
      </c>
      <c r="G194" s="10"/>
    </row>
    <row r="195" spans="1:7" x14ac:dyDescent="0.25">
      <c r="A195" s="4">
        <v>45782</v>
      </c>
      <c r="B195" s="5" t="s">
        <v>4</v>
      </c>
      <c r="C195" s="6">
        <v>339</v>
      </c>
      <c r="D195" s="9">
        <f t="shared" ref="D195:D201" si="6">AVERAGE(C195:C394)</f>
        <v>672.57142857142856</v>
      </c>
      <c r="E195" s="13">
        <v>48419</v>
      </c>
      <c r="F195" s="14">
        <f t="shared" ref="F195:F201" si="7">CORREL(C195:C394,E195:E394)</f>
        <v>-0.10553681703320204</v>
      </c>
      <c r="G195" s="10"/>
    </row>
    <row r="196" spans="1:7" x14ac:dyDescent="0.25">
      <c r="A196" s="4">
        <v>45782</v>
      </c>
      <c r="B196" s="5" t="s">
        <v>5</v>
      </c>
      <c r="C196" s="6">
        <v>1510</v>
      </c>
      <c r="D196" s="9">
        <f t="shared" si="6"/>
        <v>728.16666666666663</v>
      </c>
      <c r="E196" s="13">
        <v>16149</v>
      </c>
      <c r="F196" s="14">
        <f t="shared" si="7"/>
        <v>2.5135048108453194E-2</v>
      </c>
      <c r="G196" s="10"/>
    </row>
    <row r="197" spans="1:7" x14ac:dyDescent="0.25">
      <c r="A197" s="4">
        <v>45782</v>
      </c>
      <c r="B197" s="5" t="s">
        <v>6</v>
      </c>
      <c r="C197" s="6">
        <v>864</v>
      </c>
      <c r="D197" s="9">
        <f t="shared" si="6"/>
        <v>571.79999999999995</v>
      </c>
      <c r="E197" s="13">
        <v>7541</v>
      </c>
      <c r="F197" s="14">
        <f t="shared" si="7"/>
        <v>6.4962199365569212E-2</v>
      </c>
      <c r="G197" s="10"/>
    </row>
    <row r="198" spans="1:7" x14ac:dyDescent="0.25">
      <c r="A198" s="4">
        <v>45789</v>
      </c>
      <c r="B198" s="5" t="s">
        <v>3</v>
      </c>
      <c r="C198" s="6">
        <v>1656</v>
      </c>
      <c r="D198" s="9">
        <f t="shared" si="6"/>
        <v>498.75</v>
      </c>
      <c r="E198" s="13">
        <v>20042</v>
      </c>
      <c r="F198" s="14">
        <f t="shared" si="7"/>
        <v>0.15245406611333293</v>
      </c>
      <c r="G198" s="10"/>
    </row>
    <row r="199" spans="1:7" x14ac:dyDescent="0.25">
      <c r="A199" s="4">
        <v>45789</v>
      </c>
      <c r="B199" s="5" t="s">
        <v>4</v>
      </c>
      <c r="C199" s="6">
        <v>407</v>
      </c>
      <c r="D199" s="9">
        <f t="shared" si="6"/>
        <v>113</v>
      </c>
      <c r="E199" s="13">
        <v>49400</v>
      </c>
      <c r="F199" s="14">
        <f t="shared" si="7"/>
        <v>0.50489942705286073</v>
      </c>
      <c r="G199" s="10"/>
    </row>
    <row r="200" spans="1:7" x14ac:dyDescent="0.25">
      <c r="A200" s="4">
        <v>45789</v>
      </c>
      <c r="B200" s="5" t="s">
        <v>5</v>
      </c>
      <c r="C200" s="6">
        <v>269</v>
      </c>
      <c r="D200" s="9">
        <f t="shared" si="6"/>
        <v>-34</v>
      </c>
      <c r="E200" s="13">
        <v>4007</v>
      </c>
      <c r="F200" s="14">
        <f t="shared" si="7"/>
        <v>-1</v>
      </c>
      <c r="G200" s="10"/>
    </row>
    <row r="201" spans="1:7" x14ac:dyDescent="0.25">
      <c r="A201" s="4">
        <v>45789</v>
      </c>
      <c r="B201" s="5" t="s">
        <v>6</v>
      </c>
      <c r="C201" s="6">
        <v>-337</v>
      </c>
      <c r="D201" s="9">
        <f t="shared" si="6"/>
        <v>-337</v>
      </c>
      <c r="E201" s="13">
        <v>12174</v>
      </c>
      <c r="F201" s="14" t="e">
        <f t="shared" si="7"/>
        <v>#DIV/0!</v>
      </c>
      <c r="G201" s="10"/>
    </row>
  </sheetData>
  <mergeCells count="4">
    <mergeCell ref="H18:J18"/>
    <mergeCell ref="H19:J19"/>
    <mergeCell ref="L21:Q21"/>
    <mergeCell ref="H37:R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tiwari</dc:creator>
  <cp:lastModifiedBy>sourabh tiwari</cp:lastModifiedBy>
  <dcterms:created xsi:type="dcterms:W3CDTF">2025-07-31T13:28:52Z</dcterms:created>
  <dcterms:modified xsi:type="dcterms:W3CDTF">2025-08-06T05:18:44Z</dcterms:modified>
</cp:coreProperties>
</file>